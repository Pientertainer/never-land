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suitc-my.sharepoint.com/personal/yamamoto_h_618_ms_saitama-u_ac_jp/Documents/"/>
    </mc:Choice>
  </mc:AlternateContent>
  <xr:revisionPtr revIDLastSave="785" documentId="8_{5DCBCE43-4077-49F9-BD08-D2A6059D0209}" xr6:coauthVersionLast="47" xr6:coauthVersionMax="47" xr10:uidLastSave="{FC95F50A-53FB-4399-B36F-225645F05295}"/>
  <bookViews>
    <workbookView xWindow="-19310" yWindow="9060" windowWidth="19420" windowHeight="11500" firstSheet="6" activeTab="4" xr2:uid="{00000000-000D-0000-FFFF-FFFF00000000}"/>
  </bookViews>
  <sheets>
    <sheet name="README" sheetId="1" r:id="rId1"/>
    <sheet name="ダッシュボード" sheetId="2" r:id="rId2"/>
    <sheet name="キャラ一覧" sheetId="3" r:id="rId3"/>
    <sheet name="CG差分管理" sheetId="6" r:id="rId4"/>
    <sheet name="主人公" sheetId="9" r:id="rId5"/>
    <sheet name="ヒロイン" sheetId="4" r:id="rId6"/>
    <sheet name="黒幕" sheetId="8" r:id="rId7"/>
    <sheet name="イベント管理" sheetId="5" r:id="rId8"/>
    <sheet name="リスト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B17" i="2"/>
  <c r="C16" i="2"/>
  <c r="B16" i="2"/>
  <c r="C15" i="2"/>
  <c r="B15" i="2"/>
  <c r="C14" i="2"/>
  <c r="B14" i="2"/>
  <c r="C13" i="2"/>
  <c r="B13" i="2"/>
  <c r="C12" i="2"/>
  <c r="B12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<sst xmlns="http://schemas.openxmlformats.org/spreadsheetml/2006/main" count="1432" uniqueCount="452">
  <si>
    <t>美少女ゲーム用キャラクターカルテ・スプレッドシート版</t>
  </si>
  <si>
    <t>使い方</t>
  </si>
  <si>
    <t>1</t>
  </si>
  <si>
    <t>まず「キャラ一覧」でヒロイン単位の要約を1行で作る。</t>
  </si>
  <si>
    <t>2</t>
  </si>
  <si>
    <t>個別に詰めるキャラは「詳細カルテ」をコピーして、1キャラずつ埋める。</t>
  </si>
  <si>
    <t>3</t>
  </si>
  <si>
    <t>イベント構成は「イベント管理」、素材制作は「CG差分管理」で管理する。</t>
  </si>
  <si>
    <t>4</t>
  </si>
  <si>
    <t>選択肢が決まっている項目はプルダウンを使う。候補は「リスト」シートで編集可能。</t>
  </si>
  <si>
    <t>5</t>
  </si>
  <si>
    <t>最初から全部埋めるより、必須欄だけ埋めてから詳細を足す方が破綻しにくい。</t>
  </si>
  <si>
    <t>最初に埋めるべき必須項目</t>
  </si>
  <si>
    <t>名前</t>
  </si>
  <si>
    <t>見た目の特徴</t>
  </si>
  <si>
    <t>一番の魅力</t>
  </si>
  <si>
    <t>性格（表/裏）</t>
  </si>
  <si>
    <t>主人公との初期関係</t>
  </si>
  <si>
    <t>好感度が上がる条件</t>
  </si>
  <si>
    <t>地雷</t>
  </si>
  <si>
    <t>ルートテーマ</t>
  </si>
  <si>
    <t>クライマックス</t>
  </si>
  <si>
    <t>必須CG</t>
  </si>
  <si>
    <t>口調</t>
  </si>
  <si>
    <t>キャラ崩壊ライン</t>
  </si>
  <si>
    <t>設計思想</t>
  </si>
  <si>
    <t>この版は、元の網羅型カルテを「ビジュアル訴求」「主人公との関係変化」「攻略ルート」「イベント・CGへの変換」に寄せたものです。</t>
  </si>
  <si>
    <t>設定資料として読むだけでなく、シナリオ・原画・スクリプト作業に渡しやすいように分解しています。</t>
  </si>
  <si>
    <t>血液型・宗教・視力などは、作品に効く場合だけ任意で追加してください。</t>
  </si>
  <si>
    <t>1枚で全部を管理するより、「要約」「詳細」「イベント」「素材」に分けると運用しやすくなります。</t>
  </si>
  <si>
    <t>美少女ゲーム用キャラクター設計ダッシュボード</t>
  </si>
  <si>
    <t>項目</t>
  </si>
  <si>
    <t>値</t>
  </si>
  <si>
    <t>運用メモ</t>
  </si>
  <si>
    <t>登録キャラ数</t>
  </si>
  <si>
    <t>ルートあり</t>
  </si>
  <si>
    <t>「キャラ一覧」は企画用の1行要約。まずここだけ埋める。</t>
  </si>
  <si>
    <t>隠しルート</t>
  </si>
  <si>
    <t>「詳細カルテ」は1キャラごとの深掘り。必要なキャラ分コピーする。</t>
  </si>
  <si>
    <t>必須CG総数</t>
  </si>
  <si>
    <t>「イベント管理」はルート構成と感情曲線の確認用。</t>
  </si>
  <si>
    <t>イベント数</t>
  </si>
  <si>
    <t>「CG差分管理」は原画・表情・衣装・イベントCGの抜け漏れ確認用。</t>
  </si>
  <si>
    <t>素材数</t>
  </si>
  <si>
    <t>「リスト」の候補を足すと、プルダウンにも反映される。</t>
  </si>
  <si>
    <t>制作状況</t>
  </si>
  <si>
    <t>未着手</t>
  </si>
  <si>
    <t>草案</t>
  </si>
  <si>
    <t>作業中</t>
  </si>
  <si>
    <t>レビュー待ち</t>
  </si>
  <si>
    <t>完成</t>
  </si>
  <si>
    <t>保留</t>
  </si>
  <si>
    <t>キャラID</t>
  </si>
  <si>
    <t>愛称</t>
  </si>
  <si>
    <t>年齢</t>
  </si>
  <si>
    <t>所属</t>
  </si>
  <si>
    <t>ポジション</t>
  </si>
  <si>
    <t>ルート有無</t>
  </si>
  <si>
    <t>重要度</t>
  </si>
  <si>
    <t>初登場時の印象</t>
  </si>
  <si>
    <t>二番目の魅力</t>
  </si>
  <si>
    <t>ギャップ</t>
  </si>
  <si>
    <t>見た目タグ</t>
  </si>
  <si>
    <t>性格：表</t>
  </si>
  <si>
    <t>性格：裏</t>
  </si>
  <si>
    <t>好感度↑条件</t>
  </si>
  <si>
    <t>必須CG枚数</t>
  </si>
  <si>
    <t>完成度/状況</t>
  </si>
  <si>
    <t>メモ</t>
  </si>
  <si>
    <t>CH001</t>
  </si>
  <si>
    <t>例：月城 静音</t>
  </si>
  <si>
    <t>静音先輩</t>
  </si>
  <si>
    <t>2年 / 図書委員</t>
  </si>
  <si>
    <t>先輩</t>
  </si>
  <si>
    <t>あり</t>
  </si>
  <si>
    <t>S</t>
  </si>
  <si>
    <t>静かで近寄りがたい黒髪ロングの先輩</t>
  </si>
  <si>
    <t>孤高だが、主人公の前だけ弱さを見せる</t>
  </si>
  <si>
    <t>知識量と包容力</t>
  </si>
  <si>
    <t>冷淡そうで実は世話焼き</t>
  </si>
  <si>
    <t>黒髪ロング / 蒼い瞳 / 細身 / 白リボン</t>
  </si>
  <si>
    <t>寡黙・礼儀正しい</t>
  </si>
  <si>
    <t>不安を隠している・独占欲が強い</t>
  </si>
  <si>
    <t>主人公が図書室で偶然出会う</t>
  </si>
  <si>
    <t>約束を守る / 彼女の沈黙を急かさない</t>
  </si>
  <si>
    <t>秘密を詮索しすぎる</t>
  </si>
  <si>
    <t>他人に頼れない少女が、自分の願いを言えるようになる</t>
  </si>
  <si>
    <t>主人公に初めて助けを求める夜の場面</t>
  </si>
  <si>
    <t>例なので消して使用</t>
  </si>
  <si>
    <t>CH002</t>
  </si>
  <si>
    <t>メインヒロイン</t>
  </si>
  <si>
    <t>未定</t>
  </si>
  <si>
    <t>A</t>
  </si>
  <si>
    <t>素材ID</t>
  </si>
  <si>
    <t>ヒロイン名</t>
  </si>
  <si>
    <t>種類</t>
  </si>
  <si>
    <t>用途/場面</t>
  </si>
  <si>
    <t>表情</t>
  </si>
  <si>
    <t>衣装</t>
  </si>
  <si>
    <t>ファイル名</t>
  </si>
  <si>
    <t>優先度</t>
  </si>
  <si>
    <t>差分数</t>
  </si>
  <si>
    <t>CG000</t>
    <phoneticPr fontId="12"/>
  </si>
  <si>
    <t>CH000</t>
    <phoneticPr fontId="12"/>
  </si>
  <si>
    <t>立ち絵</t>
  </si>
  <si>
    <t>通常会話</t>
  </si>
  <si>
    <t>通常/微笑/困り/照れ</t>
  </si>
  <si>
    <t>制服</t>
  </si>
  <si>
    <t>shizune_stand_uniform.psd</t>
  </si>
  <si>
    <t>高</t>
  </si>
  <si>
    <t>イベントCG</t>
  </si>
  <si>
    <t>雨の日の本音</t>
  </si>
  <si>
    <t>泣き笑い</t>
  </si>
  <si>
    <t>私服</t>
  </si>
  <si>
    <t>shizune_event_rain.psd</t>
  </si>
  <si>
    <t>CG001</t>
  </si>
  <si>
    <t>CG002</t>
  </si>
  <si>
    <t>CG003</t>
  </si>
  <si>
    <t>CG004</t>
  </si>
  <si>
    <t>CG005</t>
  </si>
  <si>
    <t>CG006</t>
  </si>
  <si>
    <t>詳細カルテ：1キャラ分テンプレート（コピーして使用）</t>
  </si>
  <si>
    <t>分類</t>
  </si>
  <si>
    <t>内容</t>
  </si>
  <si>
    <t>制作用途</t>
  </si>
  <si>
    <t>列1</t>
  </si>
  <si>
    <t>基本情報</t>
  </si>
  <si>
    <t>企画・一覧</t>
  </si>
  <si>
    <t>必須</t>
  </si>
  <si>
    <t>設定後はプレイヤーの名前</t>
  </si>
  <si>
    <t>愛称・呼ばれ方</t>
  </si>
  <si>
    <t>任意</t>
  </si>
  <si>
    <t>17歳</t>
  </si>
  <si>
    <t>学年 / 職業 / 所属</t>
  </si>
  <si>
    <t>高校3年生</t>
  </si>
  <si>
    <t>作品内ポジション</t>
  </si>
  <si>
    <t>主人公</t>
  </si>
  <si>
    <t>初登場時の印象を一言で</t>
  </si>
  <si>
    <t>これは誰なんだろう</t>
  </si>
  <si>
    <t>主人公としての売り</t>
  </si>
  <si>
    <t>キャラ付けがない</t>
  </si>
  <si>
    <t>企画・広報・原画</t>
  </si>
  <si>
    <t>推奨</t>
  </si>
  <si>
    <t>プレイヤーに刺したい点</t>
  </si>
  <si>
    <t>ビジュアル設計</t>
  </si>
  <si>
    <t>髪型・髪色</t>
  </si>
  <si>
    <t>黒（灰色）</t>
  </si>
  <si>
    <t>原画・立ち絵</t>
  </si>
  <si>
    <t>目の形・瞳の色</t>
  </si>
  <si>
    <t>顔立ちの印象</t>
  </si>
  <si>
    <t>中世的</t>
  </si>
  <si>
    <t>体型</t>
  </si>
  <si>
    <t>胸のサイズ感</t>
  </si>
  <si>
    <t>あるかないかわからない</t>
  </si>
  <si>
    <t>姿勢・立ち方の癖</t>
  </si>
  <si>
    <t>前傾</t>
  </si>
  <si>
    <t>表情の基本</t>
  </si>
  <si>
    <t>無表情</t>
  </si>
  <si>
    <t>よくする表情</t>
  </si>
  <si>
    <t>驚く</t>
  </si>
  <si>
    <t>服装</t>
  </si>
  <si>
    <t>白T黒短パン</t>
  </si>
  <si>
    <t>イメージカラー</t>
  </si>
  <si>
    <t>灰色</t>
  </si>
  <si>
    <t>モチーフ</t>
  </si>
  <si>
    <t>シルエットの特徴</t>
  </si>
  <si>
    <t>アクセサリー・持ち物</t>
  </si>
  <si>
    <t>立ち絵で絶対残したい特徴</t>
  </si>
  <si>
    <t>性格・内面</t>
  </si>
  <si>
    <t>表向きの性格</t>
  </si>
  <si>
    <t>明るく穏やか。優しい。</t>
  </si>
  <si>
    <t>シナリオ</t>
  </si>
  <si>
    <t>本音の性格</t>
  </si>
  <si>
    <t>穏やかだが行動力がある</t>
  </si>
  <si>
    <t>長所</t>
  </si>
  <si>
    <t>人に寄り添える</t>
  </si>
  <si>
    <t>短所</t>
  </si>
  <si>
    <t>自己肯定感は低め</t>
  </si>
  <si>
    <t>性格はプレイヤーにゆだねてもいいのか</t>
  </si>
  <si>
    <t>弱み</t>
  </si>
  <si>
    <t>コンプレックス</t>
  </si>
  <si>
    <t>自分は普通の人である</t>
  </si>
  <si>
    <t>価値観</t>
  </si>
  <si>
    <t>人の価値は努力だけでは決まらない</t>
  </si>
  <si>
    <t>何を大事にしているか</t>
  </si>
  <si>
    <t>友達</t>
  </si>
  <si>
    <t>何を恐れているか</t>
  </si>
  <si>
    <t>ヒロインを取り残すこと</t>
  </si>
  <si>
    <t>怒るポイント</t>
  </si>
  <si>
    <t>上手くいかないこと</t>
  </si>
  <si>
    <t>喜ぶポイント</t>
  </si>
  <si>
    <t>甘える条件</t>
  </si>
  <si>
    <t>デレ方</t>
  </si>
  <si>
    <t>精神的に追い詰められるとどうなるか</t>
  </si>
  <si>
    <t>会話・口調</t>
  </si>
  <si>
    <t>一人称</t>
  </si>
  <si>
    <t>それこそボクはあり</t>
  </si>
  <si>
    <t>シナリオ・ボイス</t>
  </si>
  <si>
    <t>二人称</t>
  </si>
  <si>
    <t>ヒロインの呼び方</t>
  </si>
  <si>
    <t>基本口調</t>
  </si>
  <si>
    <t>口癖</t>
  </si>
  <si>
    <t>よく使う言い回し</t>
  </si>
  <si>
    <t>感情が高ぶった時の話し方</t>
  </si>
  <si>
    <t>照れた時の反応</t>
  </si>
  <si>
    <t>嘘をつく時の癖</t>
  </si>
  <si>
    <t>黙る時の意味</t>
  </si>
  <si>
    <t>何を言えばいいのかわからない</t>
  </si>
  <si>
    <t>主人公との関係</t>
  </si>
  <si>
    <t>初期関係</t>
  </si>
  <si>
    <t>攻略導線</t>
  </si>
  <si>
    <t>第一印象（ヒロイン→主人公）</t>
  </si>
  <si>
    <t>第一印象（主人公→ヒロイン）</t>
  </si>
  <si>
    <t>最初の距離感</t>
  </si>
  <si>
    <t>好感度が上がるきっかけ</t>
  </si>
  <si>
    <t>好感度が下がる地雷</t>
  </si>
  <si>
    <t>ヒロインが主人公に求めるもの</t>
  </si>
  <si>
    <t>ヒロインが主人公に隠していること</t>
  </si>
  <si>
    <t>関係が決定的に変わるイベント</t>
  </si>
  <si>
    <t>最終的にどういう関係になるか</t>
  </si>
  <si>
    <t>背景設定</t>
  </si>
  <si>
    <t>家族構成</t>
  </si>
  <si>
    <t>シナリオ・日常イベント</t>
  </si>
  <si>
    <t>家庭環境</t>
  </si>
  <si>
    <t>学校 / 職場での立ち位置</t>
  </si>
  <si>
    <t>友人関係</t>
  </si>
  <si>
    <t>過去の重要事件</t>
  </si>
  <si>
    <t>トラウマ</t>
  </si>
  <si>
    <t>秘密</t>
  </si>
  <si>
    <t>将来の夢</t>
  </si>
  <si>
    <t>得意なこと</t>
  </si>
  <si>
    <t>苦手なこと</t>
  </si>
  <si>
    <t>日常生活の特徴</t>
  </si>
  <si>
    <t>金銭感覚</t>
  </si>
  <si>
    <t>生活力</t>
  </si>
  <si>
    <t>趣味</t>
  </si>
  <si>
    <t>好きなもの</t>
  </si>
  <si>
    <t>苦手なもの</t>
  </si>
  <si>
    <t>シナリオ上の役割</t>
  </si>
  <si>
    <t>物語全体での機能</t>
  </si>
  <si>
    <t>構成・プロット</t>
  </si>
  <si>
    <t>制作メモ</t>
  </si>
  <si>
    <t>絶対にブレさせたくない核</t>
  </si>
  <si>
    <t>チェック</t>
  </si>
  <si>
    <t>表に出さなくていい設定</t>
  </si>
  <si>
    <t>立ち絵でやってはいけないこと</t>
  </si>
  <si>
    <t>シナリオでやってはいけないこと</t>
  </si>
  <si>
    <t>キャラ崩壊判定ライン</t>
  </si>
  <si>
    <t>参考にしたい雰囲気</t>
  </si>
  <si>
    <t>列2</t>
  </si>
  <si>
    <t>列3</t>
  </si>
  <si>
    <t>列4</t>
  </si>
  <si>
    <t>倫理コードは絶対に守ってください。命系は特にです</t>
  </si>
  <si>
    <t>真白</t>
  </si>
  <si>
    <t>シロ</t>
  </si>
  <si>
    <t>17程度</t>
  </si>
  <si>
    <t xml:space="preserve">学年 </t>
  </si>
  <si>
    <t>3歳からピアノを始め、有名講師から学ぶ</t>
  </si>
  <si>
    <t>ヒロイン</t>
  </si>
  <si>
    <t>努力家そう、妖精見えそう、一見清楚で柔らかい感じに見える</t>
  </si>
  <si>
    <t>要請いつから見えてたことにするか</t>
    <rPh sb="0" eb="2">
      <t>ヨウセイ</t>
    </rPh>
    <rPh sb="6" eb="7">
      <t>ミ</t>
    </rPh>
    <phoneticPr fontId="12"/>
  </si>
  <si>
    <t>ヒロインとしての売り</t>
  </si>
  <si>
    <t>ヒロインの成長</t>
  </si>
  <si>
    <t>ピアノが上手</t>
    <rPh sb="4" eb="6">
      <t>ジョウズ</t>
    </rPh>
    <phoneticPr fontId="12"/>
  </si>
  <si>
    <t>親の勧めではなく自分からやりだしたが挫折した</t>
    <rPh sb="0" eb="1">
      <t>オヤ</t>
    </rPh>
    <rPh sb="2" eb="3">
      <t>スス</t>
    </rPh>
    <rPh sb="8" eb="10">
      <t>ジブン</t>
    </rPh>
    <rPh sb="18" eb="20">
      <t>ザセツ</t>
    </rPh>
    <phoneticPr fontId="12"/>
  </si>
  <si>
    <t>守ってあげたくなるところ</t>
  </si>
  <si>
    <t>努力の描写→弾けなくなることから救ってあげたくなるように</t>
  </si>
  <si>
    <t>ロング（ストレート）、白</t>
  </si>
  <si>
    <t>かわいい系、色は#8399c2、異世界：ハイライト無</t>
  </si>
  <si>
    <t>#8399c2はカラーコードです</t>
  </si>
  <si>
    <t>ちょっと丸顔、優しそう</t>
  </si>
  <si>
    <t>スレンダー</t>
  </si>
  <si>
    <t>あるけど控え目</t>
  </si>
  <si>
    <t>まっすぐ、姿勢が良い</t>
  </si>
  <si>
    <t>記憶の中：微笑む/異世界：無表情</t>
  </si>
  <si>
    <t>記憶の中：/異世界：</t>
  </si>
  <si>
    <t>はかなげな</t>
  </si>
  <si>
    <t>白と黒</t>
  </si>
  <si>
    <t>白っぽく</t>
  </si>
  <si>
    <t>白</t>
  </si>
  <si>
    <t>音楽系</t>
  </si>
  <si>
    <t>ふんわり</t>
  </si>
  <si>
    <t>精霊とおそろいのブレスレット</t>
  </si>
  <si>
    <t>精霊だとネックレス</t>
  </si>
  <si>
    <t>髪のふんわり感</t>
  </si>
  <si>
    <t>静かそう？</t>
  </si>
  <si>
    <t>記憶の中：人見知り　/異世界：攻撃的、冷徹</t>
  </si>
  <si>
    <t>記憶と異世界で違います</t>
  </si>
  <si>
    <t>記憶の中：芯がある、優しい　/異世界：繊細</t>
  </si>
  <si>
    <t>努力家、完璧主義</t>
  </si>
  <si>
    <t>頑固</t>
  </si>
  <si>
    <t>指に怪我をしたこと</t>
  </si>
  <si>
    <t>自分にはピアノしかない（と思っている）こと</t>
  </si>
  <si>
    <t>努力は裏切らない</t>
  </si>
  <si>
    <t>努力、精霊（相棒？）</t>
  </si>
  <si>
    <t>自分の価値（努力、ピアノ）が消えてしまうこと</t>
  </si>
  <si>
    <t>指のケガに触れられること</t>
  </si>
  <si>
    <t>これに触れるとバッドエンド</t>
  </si>
  <si>
    <t>記憶の中：努力が認められる/異世界：悩みを理解してもらうこと</t>
  </si>
  <si>
    <t>主人公が説得に成功すること（クイズ）</t>
  </si>
  <si>
    <t>元の性格の感じに戻る（優しい感じ）</t>
    <phoneticPr fontId="12"/>
  </si>
  <si>
    <t>異世界の時のヒロインしかデレないです</t>
  </si>
  <si>
    <t>異世界の城に閉じこもる</t>
    <phoneticPr fontId="12"/>
  </si>
  <si>
    <t>私</t>
  </si>
  <si>
    <t>キミ</t>
  </si>
  <si>
    <t>主人公の呼び方</t>
  </si>
  <si>
    <t>呼び捨て</t>
  </si>
  <si>
    <t>記憶の中：おっとり、「...」が入る感じ/異世界：怖い印象</t>
  </si>
  <si>
    <t>記憶の中：嬉しくて/異世界：</t>
  </si>
  <si>
    <t>口角が上がって嬉しそうに黙る</t>
  </si>
  <si>
    <t>文章の最初に「...」、文量が増えて、少し早口になる</t>
  </si>
  <si>
    <t>自分の考え・感情を整理する</t>
  </si>
  <si>
    <t>幼馴染</t>
  </si>
  <si>
    <t>友人</t>
  </si>
  <si>
    <t>異世界：放っておいてほしい</t>
  </si>
  <si>
    <t>異世界で主人公と出会ったとき</t>
  </si>
  <si>
    <t>記憶の中：かわいい、いい子そう</t>
  </si>
  <si>
    <t>主人公とプレイヤーの抱く感情は一緒</t>
  </si>
  <si>
    <t>中学生くらいまではよく遊んでいた。怪我以来あまり会ってない</t>
  </si>
  <si>
    <t>大切な友人だけど、、</t>
  </si>
  <si>
    <t>城の中での問答で正答を選ぶこと</t>
  </si>
  <si>
    <t>城の中での問答で誤答すること</t>
  </si>
  <si>
    <t>普通でいいんだよ的な？</t>
  </si>
  <si>
    <t>大人になる不安を共有したい</t>
  </si>
  <si>
    <t>自分に価値を見出してほしい</t>
  </si>
  <si>
    <t>精霊が見えること</t>
  </si>
  <si>
    <t>城での問答（その後の黒幕との対話）</t>
  </si>
  <si>
    <t>城での問答（クイズ）</t>
  </si>
  <si>
    <t>親友</t>
  </si>
  <si>
    <t>母、父、一人っ子</t>
  </si>
  <si>
    <t>母と父は忙しい、黒幕とずっと一緒</t>
  </si>
  <si>
    <t>ピアノが上手い子、おとなしい子</t>
  </si>
  <si>
    <t>友達はそんなに多くない。主人公と黒幕が友達</t>
  </si>
  <si>
    <t>もうピアノを弾けないと医者に宣告された</t>
  </si>
  <si>
    <t>本とかに症状について書く(症状をどこまで書くかは未定)</t>
    <rPh sb="13" eb="15">
      <t>ショウジョウ</t>
    </rPh>
    <rPh sb="20" eb="21">
      <t>カ</t>
    </rPh>
    <rPh sb="24" eb="26">
      <t>ミテイ</t>
    </rPh>
    <phoneticPr fontId="12"/>
  </si>
  <si>
    <t>ピアノを弾こうとしても指が思うように動かなかった経験</t>
  </si>
  <si>
    <t>精霊が見える</t>
    <phoneticPr fontId="12"/>
  </si>
  <si>
    <t>主人公は異世界に行って初めて見えるようになった</t>
  </si>
  <si>
    <t>元はピアニスト。今はない</t>
  </si>
  <si>
    <t>ピアノ</t>
  </si>
  <si>
    <t>感情表現</t>
  </si>
  <si>
    <t>ピアノを長時間練習</t>
  </si>
  <si>
    <t>普通</t>
  </si>
  <si>
    <t>家事とかはできる（料理はしない）</t>
  </si>
  <si>
    <t>ピアノに支障がないように刃物には触らない</t>
  </si>
  <si>
    <t>音楽鑑賞</t>
  </si>
  <si>
    <t>自然（動物とか）</t>
  </si>
  <si>
    <t>記憶の中：運動/異世界：ピアノ関連のもの</t>
  </si>
  <si>
    <t>悩みを抱える愛らしい少女</t>
  </si>
  <si>
    <t>性格はいいということ</t>
  </si>
  <si>
    <t>露出多め</t>
  </si>
  <si>
    <t>ヤンキー化する</t>
  </si>
  <si>
    <t>クロ</t>
  </si>
  <si>
    <t>700～1000歳くらい</t>
  </si>
  <si>
    <t>妖精</t>
  </si>
  <si>
    <t>天邪鬼</t>
  </si>
  <si>
    <t>黒幕としての売り</t>
  </si>
  <si>
    <t>無邪気</t>
  </si>
  <si>
    <t>寂しがりやメンヘラ</t>
  </si>
  <si>
    <t>純粋、計算高い</t>
  </si>
  <si>
    <t>人間の価値観にそぐわない</t>
  </si>
  <si>
    <t>同胞がいない</t>
  </si>
  <si>
    <t>孤独</t>
  </si>
  <si>
    <t>子供至上主義</t>
  </si>
  <si>
    <t>大人って生き物はロクなものじゃない（by人生経験）</t>
  </si>
  <si>
    <t>ヒロインと触れ合えなくなること</t>
  </si>
  <si>
    <t>ヒロインを奪われること</t>
  </si>
  <si>
    <t>自身の行動に対して何かしら反応してくれること</t>
  </si>
  <si>
    <t>説得する条件</t>
  </si>
  <si>
    <t>ヒロインが黒幕を説得</t>
  </si>
  <si>
    <t>アイテム収集</t>
  </si>
  <si>
    <t>悲しいけど応援するよって感じ</t>
  </si>
  <si>
    <t>説得した後の状態</t>
  </si>
  <si>
    <t>妖精の力を使ってしまう</t>
  </si>
  <si>
    <t>力と感情がリンクしている</t>
  </si>
  <si>
    <t>感情的というより、計画的に行った感じ</t>
  </si>
  <si>
    <t>ボク</t>
  </si>
  <si>
    <t>オマエ</t>
  </si>
  <si>
    <t>無邪気なかんじで</t>
  </si>
  <si>
    <t>オマエがいるから</t>
  </si>
  <si>
    <t>早口</t>
  </si>
  <si>
    <t>ツンデレ</t>
  </si>
  <si>
    <t>わかりやすい</t>
  </si>
  <si>
    <t>口をとがらせるとか無邪気っぽいかな？</t>
  </si>
  <si>
    <t>オマエにだけ見える</t>
  </si>
  <si>
    <t>恋愛感情の自覚タイミング</t>
  </si>
  <si>
    <t>×</t>
  </si>
  <si>
    <t>ヒロインだけ</t>
  </si>
  <si>
    <t>長らく孤独だったところにヒロインに出会った</t>
  </si>
  <si>
    <t>イベントID</t>
  </si>
  <si>
    <t>ルート段階</t>
  </si>
  <si>
    <t>イベント名</t>
  </si>
  <si>
    <t>イベント目的</t>
  </si>
  <si>
    <t>開始時の感情</t>
  </si>
  <si>
    <t>終了時の感情</t>
  </si>
  <si>
    <t>選択肢/条件</t>
  </si>
  <si>
    <t>必要CG</t>
  </si>
  <si>
    <t>BGM/SE</t>
  </si>
  <si>
    <t>スクリプト状況</t>
  </si>
  <si>
    <t>EV000</t>
  </si>
  <si>
    <t>共通序盤</t>
  </si>
  <si>
    <t>図書室での初遭遇</t>
  </si>
  <si>
    <t>印象付け・謎の提示</t>
  </si>
  <si>
    <t>警戒</t>
  </si>
  <si>
    <t>興味</t>
  </si>
  <si>
    <t>自動発生</t>
  </si>
  <si>
    <t>なし</t>
  </si>
  <si>
    <t>静かなBGM</t>
  </si>
  <si>
    <t>個別中盤</t>
  </si>
  <si>
    <t>弱さを見せる</t>
  </si>
  <si>
    <t>信頼</t>
  </si>
  <si>
    <t>依存</t>
  </si>
  <si>
    <t>好感度一定以上</t>
  </si>
  <si>
    <t>イベントCG 1枚</t>
  </si>
  <si>
    <t>雨SE</t>
  </si>
  <si>
    <t>EV001</t>
  </si>
  <si>
    <t>CH001</t>
    <phoneticPr fontId="12"/>
  </si>
  <si>
    <t>EV002</t>
  </si>
  <si>
    <t>CG種類</t>
  </si>
  <si>
    <t>感情段階</t>
  </si>
  <si>
    <t>サブヒロイン</t>
  </si>
  <si>
    <t>中</t>
  </si>
  <si>
    <t>共通中盤</t>
  </si>
  <si>
    <t>表情差分</t>
  </si>
  <si>
    <t>幼なじみ</t>
  </si>
  <si>
    <t>隠し</t>
  </si>
  <si>
    <t>B</t>
  </si>
  <si>
    <t>低</t>
  </si>
  <si>
    <t>共通終盤</t>
  </si>
  <si>
    <t>衣装差分</t>
  </si>
  <si>
    <t>同級生</t>
  </si>
  <si>
    <t>C</t>
  </si>
  <si>
    <t>個別序盤</t>
  </si>
  <si>
    <t>背景付きCG</t>
  </si>
  <si>
    <t>衝突</t>
  </si>
  <si>
    <t>後輩</t>
  </si>
  <si>
    <t>個別終盤</t>
  </si>
  <si>
    <t>SD</t>
  </si>
  <si>
    <t>後悔</t>
  </si>
  <si>
    <t>教師/大人</t>
  </si>
  <si>
    <t>カットイン</t>
  </si>
  <si>
    <t>和解</t>
  </si>
  <si>
    <t>謎の少女</t>
  </si>
  <si>
    <t>エピローグ</t>
  </si>
  <si>
    <t>UI用アイコン</t>
  </si>
  <si>
    <t>恋愛</t>
  </si>
  <si>
    <t>敵対者</t>
  </si>
  <si>
    <t>バッド/分岐</t>
  </si>
  <si>
    <t>救済</t>
  </si>
  <si>
    <t>案内役</t>
  </si>
  <si>
    <t>別離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</si>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</sst>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rlito"/>
    </font>
    <font>
      <b/>
      <sz val="16"/>
      <color rgb="FFFFFFFF"/>
      <name val="Carlito"/>
    </font>
    <font>
      <b/>
      <sz val="11"/>
      <color rgb="FF3B0764"/>
      <name val="Carlito"/>
    </font>
    <font>
      <b/>
      <sz val="11"/>
      <color rgb="FF4C1D95"/>
      <name val="Carlito"/>
    </font>
    <font>
      <sz val="11"/>
      <color rgb="FF111827"/>
      <name val="Carlito"/>
    </font>
    <font>
      <sz val="11"/>
      <color rgb="FF7C2D12"/>
      <name val="Carlito"/>
    </font>
    <font>
      <b/>
      <sz val="11"/>
      <color rgb="FFFFFFFF"/>
      <name val="Carlito"/>
    </font>
    <font>
      <b/>
      <sz val="11"/>
      <color rgb="FF991B1B"/>
      <name val="Carlito"/>
    </font>
    <font>
      <sz val="11"/>
      <color rgb="FF4B5563"/>
      <name val="Carlito"/>
    </font>
    <font>
      <sz val="11"/>
      <color rgb="FF92400E"/>
      <name val="Carlito"/>
    </font>
    <font>
      <b/>
      <sz val="11"/>
      <color rgb="FF111827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color rgb="FF111827"/>
      <name val="ＭＳ ゴシック"/>
      <family val="3"/>
      <charset val="128"/>
    </font>
    <font>
      <sz val="11"/>
      <color rgb="FF000000"/>
      <name val="Carlito"/>
    </font>
    <font>
      <sz val="11"/>
      <color rgb="FF242424"/>
      <name val="Yu Gothic"/>
      <family val="3"/>
      <charset val="128"/>
    </font>
    <font>
      <sz val="11"/>
      <color rgb="FF111827"/>
      <name val="Carlito"/>
      <family val="2"/>
    </font>
    <font>
      <sz val="11"/>
      <color rgb="FF111827"/>
      <name val="Carlito"/>
      <charset val="1"/>
    </font>
  </fonts>
  <fills count="13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6D28D9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5F3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theme="3" tint="0.749992370372631"/>
      </top>
      <bottom/>
      <diagonal/>
    </border>
    <border>
      <left/>
      <right/>
      <top/>
      <bottom style="thin">
        <color theme="3" tint="0.749992370372631"/>
      </bottom>
      <diagonal/>
    </border>
  </borders>
  <cellStyleXfs count="2">
    <xf numFmtId="0" fontId="0" fillId="0" borderId="0"/>
    <xf numFmtId="0" fontId="11" fillId="0" borderId="0"/>
  </cellStyleXfs>
  <cellXfs count="37">
    <xf numFmtId="0" fontId="0" fillId="0" borderId="0" xfId="0"/>
    <xf numFmtId="0" fontId="4" fillId="4" borderId="0" xfId="1" applyFont="1" applyFill="1" applyAlignment="1">
      <alignment vertical="top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left" vertical="center" wrapText="1"/>
    </xf>
    <xf numFmtId="0" fontId="6" fillId="6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left" vertical="top" wrapText="1"/>
    </xf>
    <xf numFmtId="0" fontId="7" fillId="7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top" wrapText="1"/>
    </xf>
    <xf numFmtId="0" fontId="9" fillId="9" borderId="0" xfId="1" applyFont="1" applyFill="1" applyAlignment="1">
      <alignment horizontal="center" vertical="top" wrapText="1"/>
    </xf>
    <xf numFmtId="0" fontId="10" fillId="4" borderId="0" xfId="1" applyFont="1" applyFill="1" applyAlignment="1">
      <alignment horizontal="center"/>
    </xf>
    <xf numFmtId="0" fontId="0" fillId="0" borderId="0" xfId="1" applyFont="1" applyAlignment="1">
      <alignment horizontal="center"/>
    </xf>
    <xf numFmtId="0" fontId="0" fillId="0" borderId="0" xfId="1" applyFont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6" fillId="6" borderId="0" xfId="1" applyFont="1" applyFill="1" applyAlignment="1">
      <alignment horizontal="center" vertical="top" wrapText="1"/>
    </xf>
    <xf numFmtId="0" fontId="3" fillId="10" borderId="0" xfId="1" applyFont="1" applyFill="1" applyAlignment="1">
      <alignment horizontal="center" vertical="top" wrapText="1"/>
    </xf>
    <xf numFmtId="0" fontId="0" fillId="0" borderId="0" xfId="0" applyAlignment="1">
      <alignment wrapText="1"/>
    </xf>
    <xf numFmtId="0" fontId="1" fillId="2" borderId="0" xfId="1" applyFont="1" applyFill="1" applyAlignment="1">
      <alignment horizontal="center" vertical="center"/>
    </xf>
    <xf numFmtId="0" fontId="13" fillId="4" borderId="0" xfId="1" applyFont="1" applyFill="1" applyAlignment="1">
      <alignment vertical="top" wrapText="1"/>
    </xf>
    <xf numFmtId="0" fontId="14" fillId="11" borderId="0" xfId="0" applyFont="1" applyFill="1"/>
    <xf numFmtId="0" fontId="0" fillId="11" borderId="0" xfId="0" applyFill="1"/>
    <xf numFmtId="0" fontId="15" fillId="0" borderId="0" xfId="0" applyFont="1"/>
    <xf numFmtId="0" fontId="1" fillId="2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center" vertical="center"/>
    </xf>
    <xf numFmtId="0" fontId="5" fillId="5" borderId="0" xfId="1" applyFont="1" applyFill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left" vertical="top" wrapText="1"/>
    </xf>
    <xf numFmtId="0" fontId="2" fillId="3" borderId="0" xfId="1" applyFont="1" applyFill="1" applyAlignment="1">
      <alignment horizontal="left" vertical="center" wrapText="1"/>
    </xf>
    <xf numFmtId="0" fontId="2" fillId="3" borderId="0" xfId="1" applyFont="1" applyFill="1" applyAlignment="1">
      <alignment horizontal="left" vertical="center"/>
    </xf>
    <xf numFmtId="0" fontId="1" fillId="6" borderId="0" xfId="1" applyFont="1" applyFill="1" applyAlignment="1">
      <alignment horizontal="center" vertical="top" wrapText="1"/>
    </xf>
    <xf numFmtId="0" fontId="1" fillId="6" borderId="0" xfId="1" applyFont="1" applyFill="1" applyAlignment="1">
      <alignment horizontal="center" vertical="center" wrapText="1"/>
    </xf>
    <xf numFmtId="0" fontId="13" fillId="12" borderId="0" xfId="0" applyFont="1" applyFill="1" applyBorder="1" applyAlignment="1">
      <alignment wrapText="1"/>
    </xf>
    <xf numFmtId="0" fontId="16" fillId="12" borderId="0" xfId="0" applyFont="1" applyFill="1" applyBorder="1" applyAlignment="1">
      <alignment wrapText="1"/>
    </xf>
    <xf numFmtId="0" fontId="13" fillId="12" borderId="1" xfId="0" applyFont="1" applyFill="1" applyBorder="1" applyAlignment="1">
      <alignment wrapText="1"/>
    </xf>
    <xf numFmtId="0" fontId="16" fillId="12" borderId="2" xfId="0" applyFont="1" applyFill="1" applyBorder="1" applyAlignment="1">
      <alignment wrapText="1"/>
    </xf>
    <xf numFmtId="0" fontId="16" fillId="12" borderId="1" xfId="0" applyFont="1" applyFill="1" applyBorder="1" applyAlignment="1">
      <alignment wrapText="1"/>
    </xf>
    <xf numFmtId="0" fontId="13" fillId="12" borderId="2" xfId="0" applyFont="1" applyFill="1" applyBorder="1" applyAlignment="1">
      <alignment wrapText="1"/>
    </xf>
    <xf numFmtId="0" fontId="17" fillId="11" borderId="0" xfId="0" applyFont="1" applyFill="1" applyAlignment="1">
      <alignment horizontal="left" vertical="top"/>
    </xf>
  </cellXfs>
  <cellStyles count="2">
    <cellStyle name="Normal" xfId="1" xr:uid="{00000000-0005-0000-0000-000000000000}"/>
    <cellStyle name="標準" xfId="0" builtinId="0"/>
  </cellStyles>
  <dxfs count="10">
    <dxf>
      <font>
        <color rgb="FF6B7280"/>
      </font>
      <fill>
        <patternFill patternType="solid">
          <bgColor rgb="FFF3F4F6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11827"/>
        <name val="Carlito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color rgb="FF6B7280"/>
      </font>
      <fill>
        <patternFill patternType="solid">
          <bgColor rgb="FFF3F4F6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6B7280"/>
      </font>
      <fill>
        <patternFill patternType="solid">
          <bgColor rgb="FFF3F4F6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イベント数</c:v>
          </c:tx>
          <c:invertIfNegative val="1"/>
          <c:cat>
            <c:strRef>
              <c:f>ダッシュボード!$A$12:$A$17</c:f>
              <c:strCache>
                <c:ptCount val="6"/>
                <c:pt idx="0">
                  <c:v>未着手</c:v>
                </c:pt>
                <c:pt idx="1">
                  <c:v>草案</c:v>
                </c:pt>
                <c:pt idx="2">
                  <c:v>作業中</c:v>
                </c:pt>
                <c:pt idx="3">
                  <c:v>レビュー待ち</c:v>
                </c:pt>
                <c:pt idx="4">
                  <c:v>完成</c:v>
                </c:pt>
                <c:pt idx="5">
                  <c:v>保留</c:v>
                </c:pt>
              </c:strCache>
            </c:strRef>
          </c:cat>
          <c:val>
            <c:numRef>
              <c:f>ダッシュボード!$B$12:$B$17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51-475F-8900-67B878EA6E94}"/>
            </c:ext>
          </c:extLst>
        </c:ser>
        <c:ser>
          <c:idx val="1"/>
          <c:order val="1"/>
          <c:tx>
            <c:v>素材数</c:v>
          </c:tx>
          <c:invertIfNegative val="1"/>
          <c:cat>
            <c:strRef>
              <c:f>ダッシュボード!$A$12:$A$17</c:f>
              <c:strCache>
                <c:ptCount val="6"/>
                <c:pt idx="0">
                  <c:v>未着手</c:v>
                </c:pt>
                <c:pt idx="1">
                  <c:v>草案</c:v>
                </c:pt>
                <c:pt idx="2">
                  <c:v>作業中</c:v>
                </c:pt>
                <c:pt idx="3">
                  <c:v>レビュー待ち</c:v>
                </c:pt>
                <c:pt idx="4">
                  <c:v>完成</c:v>
                </c:pt>
                <c:pt idx="5">
                  <c:v>保留</c:v>
                </c:pt>
              </c:strCache>
            </c:strRef>
          </c:cat>
          <c:val>
            <c:numRef>
              <c:f>ダッシュボード!$C$12:$C$17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51-475F-8900-67B878EA6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aracterList" displayName="CharacterList" ref="A1:W200">
  <tableColumns count="23">
    <tableColumn id="1" xr3:uid="{00000000-0010-0000-0000-000001000000}" name="キャラID"/>
    <tableColumn id="2" xr3:uid="{00000000-0010-0000-0000-000002000000}" name="名前"/>
    <tableColumn id="3" xr3:uid="{00000000-0010-0000-0000-000003000000}" name="愛称"/>
    <tableColumn id="4" xr3:uid="{00000000-0010-0000-0000-000004000000}" name="年齢"/>
    <tableColumn id="5" xr3:uid="{00000000-0010-0000-0000-000005000000}" name="所属"/>
    <tableColumn id="6" xr3:uid="{00000000-0010-0000-0000-000006000000}" name="ポジション"/>
    <tableColumn id="7" xr3:uid="{00000000-0010-0000-0000-000007000000}" name="ルート有無"/>
    <tableColumn id="8" xr3:uid="{00000000-0010-0000-0000-000008000000}" name="重要度"/>
    <tableColumn id="9" xr3:uid="{00000000-0010-0000-0000-000009000000}" name="初登場時の印象"/>
    <tableColumn id="10" xr3:uid="{00000000-0010-0000-0000-00000A000000}" name="一番の魅力"/>
    <tableColumn id="11" xr3:uid="{00000000-0010-0000-0000-00000B000000}" name="二番目の魅力"/>
    <tableColumn id="12" xr3:uid="{00000000-0010-0000-0000-00000C000000}" name="ギャップ"/>
    <tableColumn id="13" xr3:uid="{00000000-0010-0000-0000-00000D000000}" name="見た目タグ"/>
    <tableColumn id="14" xr3:uid="{00000000-0010-0000-0000-00000E000000}" name="性格：表"/>
    <tableColumn id="15" xr3:uid="{00000000-0010-0000-0000-00000F000000}" name="性格：裏"/>
    <tableColumn id="16" xr3:uid="{00000000-0010-0000-0000-000010000000}" name="主人公との初期関係"/>
    <tableColumn id="17" xr3:uid="{00000000-0010-0000-0000-000011000000}" name="好感度↑条件"/>
    <tableColumn id="18" xr3:uid="{00000000-0010-0000-0000-000012000000}" name="地雷"/>
    <tableColumn id="19" xr3:uid="{00000000-0010-0000-0000-000013000000}" name="ルートテーマ"/>
    <tableColumn id="20" xr3:uid="{00000000-0010-0000-0000-000014000000}" name="クライマックス"/>
    <tableColumn id="21" xr3:uid="{00000000-0010-0000-0000-000015000000}" name="必須CG枚数"/>
    <tableColumn id="22" xr3:uid="{00000000-0010-0000-0000-000016000000}" name="完成度/状況"/>
    <tableColumn id="23" xr3:uid="{00000000-0010-0000-0000-000017000000}" name="メモ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GTable" displayName="CGTable" ref="A1:L300">
  <tableColumns count="12">
    <tableColumn id="1" xr3:uid="{00000000-0010-0000-0300-000001000000}" name="素材ID"/>
    <tableColumn id="2" xr3:uid="{00000000-0010-0000-0300-000002000000}" name="キャラID"/>
    <tableColumn id="3" xr3:uid="{00000000-0010-0000-0300-000003000000}" name="ヒロイン名"/>
    <tableColumn id="4" xr3:uid="{00000000-0010-0000-0300-000004000000}" name="種類"/>
    <tableColumn id="5" xr3:uid="{00000000-0010-0000-0300-000005000000}" name="用途/場面"/>
    <tableColumn id="6" xr3:uid="{00000000-0010-0000-0300-000006000000}" name="表情"/>
    <tableColumn id="7" xr3:uid="{00000000-0010-0000-0300-000007000000}" name="衣装"/>
    <tableColumn id="8" xr3:uid="{00000000-0010-0000-0300-000008000000}" name="ファイル名"/>
    <tableColumn id="9" xr3:uid="{00000000-0010-0000-0300-000009000000}" name="優先度"/>
    <tableColumn id="10" xr3:uid="{00000000-0010-0000-0300-00000A000000}" name="制作状況"/>
    <tableColumn id="11" xr3:uid="{00000000-0010-0000-0300-00000B000000}" name="差分数"/>
    <tableColumn id="12" xr3:uid="{00000000-0010-0000-0300-00000C000000}" name="メモ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008929-F67C-40B0-BEE0-0A52D5D43BE0}" name="DetailTemplate67" displayName="DetailTemplate67" ref="A3:G92">
  <tableColumns count="7">
    <tableColumn id="1" xr3:uid="{A2A88078-67A4-46A2-A6FB-D33A2FB312FC}" name="分類"/>
    <tableColumn id="2" xr3:uid="{0E978E71-5EF7-48E8-8833-3E787F36EF89}" name="項目"/>
    <tableColumn id="3" xr3:uid="{6F7314E5-19EB-4818-AFED-D5F3F4AA1DA3}" name="内容"/>
    <tableColumn id="4" xr3:uid="{1A390406-1D73-4C43-8A1E-51D23AD22B78}" name="制作用途"/>
    <tableColumn id="5" xr3:uid="{436CBC09-055C-4FC5-A4CA-7488B9B52E38}" name="重要度"/>
    <tableColumn id="6" xr3:uid="{FD40E9CB-B0A8-4098-8B31-A30DACB8E21C}" name="メモ"/>
    <tableColumn id="7" xr3:uid="{885D9988-CB31-4826-BB80-E6F7D5A72C94}" name="列1" dataDxfId="3" dataCellStyle="Norm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ilTemplate" displayName="DetailTemplate" ref="A3:J108">
  <tableColumns count="10">
    <tableColumn id="1" xr3:uid="{00000000-0010-0000-0100-000001000000}" name="分類"/>
    <tableColumn id="2" xr3:uid="{00000000-0010-0000-0100-000002000000}" name="項目"/>
    <tableColumn id="3" xr3:uid="{00000000-0010-0000-0100-000003000000}" name="内容"/>
    <tableColumn id="4" xr3:uid="{00000000-0010-0000-0100-000004000000}" name="制作用途"/>
    <tableColumn id="5" xr3:uid="{00000000-0010-0000-0100-000005000000}" name="重要度"/>
    <tableColumn id="6" xr3:uid="{00000000-0010-0000-0100-000006000000}" name="メモ"/>
    <tableColumn id="7" xr3:uid="{E86A08C1-A28F-4AE9-9684-323AEC62952F}" name="列1"/>
    <tableColumn id="8" xr3:uid="{43F668D3-12F0-4014-925D-3B374CA4D71B}" name="列2"/>
    <tableColumn id="9" xr3:uid="{C11CAE6C-A668-47D2-8951-62349CD80DBA}" name="列3"/>
    <tableColumn id="10" xr3:uid="{3B11B7A5-0805-4A1F-B5D7-798EECBC787B}" name="列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EBD112-D472-4FE0-A6BA-184ECC9C96B6}" name="DetailTemplate6" displayName="DetailTemplate6" ref="A3:G93">
  <tableColumns count="7">
    <tableColumn id="1" xr3:uid="{EBA24929-FEBF-4296-8D22-0C0AF849A4A8}" name="分類"/>
    <tableColumn id="2" xr3:uid="{A0A26091-313F-4863-8D9E-27E5725133D7}" name="項目"/>
    <tableColumn id="3" xr3:uid="{EACBB363-5650-48D7-83F9-0B09188F99D9}" name="内容"/>
    <tableColumn id="4" xr3:uid="{946B1CC9-5528-4842-854B-76FD387191CF}" name="制作用途"/>
    <tableColumn id="5" xr3:uid="{C9666AEB-AC5D-49C8-8FBB-12C3B5813556}" name="重要度"/>
    <tableColumn id="6" xr3:uid="{7B2B562C-2DF5-4930-A785-A53EBE551FF7}" name="メモ"/>
    <tableColumn id="7" xr3:uid="{2F9E3B79-03BB-48BA-B7F3-865D094E1C40}" name="列1" dataDxfId="2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ventTable" displayName="EventTable" ref="A1:M300">
  <tableColumns count="13">
    <tableColumn id="1" xr3:uid="{00000000-0010-0000-0200-000001000000}" name="イベントID"/>
    <tableColumn id="2" xr3:uid="{00000000-0010-0000-0200-000002000000}" name="キャラID"/>
    <tableColumn id="3" xr3:uid="{00000000-0010-0000-0200-000003000000}" name="ヒロイン名"/>
    <tableColumn id="4" xr3:uid="{00000000-0010-0000-0200-000004000000}" name="ルート段階"/>
    <tableColumn id="5" xr3:uid="{00000000-0010-0000-0200-000005000000}" name="イベント名"/>
    <tableColumn id="6" xr3:uid="{00000000-0010-0000-0200-000006000000}" name="イベント目的"/>
    <tableColumn id="7" xr3:uid="{00000000-0010-0000-0200-000007000000}" name="開始時の感情"/>
    <tableColumn id="8" xr3:uid="{00000000-0010-0000-0200-000008000000}" name="終了時の感情"/>
    <tableColumn id="9" xr3:uid="{00000000-0010-0000-0200-000009000000}" name="選択肢/条件"/>
    <tableColumn id="10" xr3:uid="{00000000-0010-0000-0200-00000A000000}" name="必要CG"/>
    <tableColumn id="11" xr3:uid="{00000000-0010-0000-0200-00000B000000}" name="BGM/SE"/>
    <tableColumn id="12" xr3:uid="{00000000-0010-0000-0200-00000C000000}" name="スクリプト状況"/>
    <tableColumn id="13" xr3:uid="{00000000-0010-0000-0200-00000D000000}" name="メモ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0"/>
  <sheetViews>
    <sheetView workbookViewId="0"/>
  </sheetViews>
  <sheetFormatPr defaultRowHeight="14.25"/>
  <cols>
    <col min="1" max="1" width="18" customWidth="1"/>
    <col min="2" max="2" width="80" customWidth="1"/>
    <col min="3" max="8" width="18" customWidth="1"/>
  </cols>
  <sheetData>
    <row r="1" spans="1:8" ht="20.100000000000001" customHeight="1">
      <c r="A1" s="21" t="s">
        <v>0</v>
      </c>
      <c r="B1" s="24"/>
      <c r="C1" s="24"/>
      <c r="D1" s="24"/>
      <c r="E1" s="24"/>
      <c r="F1" s="24"/>
      <c r="G1" s="24"/>
      <c r="H1" s="24"/>
    </row>
    <row r="2" spans="1:8">
      <c r="A2" s="11"/>
      <c r="B2" s="2"/>
      <c r="C2" s="2"/>
      <c r="D2" s="2"/>
      <c r="E2" s="2"/>
      <c r="F2" s="2"/>
      <c r="G2" s="2"/>
      <c r="H2" s="2"/>
    </row>
    <row r="3" spans="1:8" ht="15">
      <c r="A3" s="25" t="s">
        <v>1</v>
      </c>
      <c r="B3" s="26"/>
      <c r="C3" s="26"/>
      <c r="D3" s="26"/>
      <c r="E3" s="26"/>
      <c r="F3" s="26"/>
      <c r="G3" s="26"/>
      <c r="H3" s="26"/>
    </row>
    <row r="4" spans="1:8">
      <c r="A4" s="11"/>
      <c r="B4" s="2"/>
      <c r="C4" s="2"/>
      <c r="D4" s="2"/>
      <c r="E4" s="2"/>
      <c r="F4" s="2"/>
      <c r="G4" s="2"/>
      <c r="H4" s="2"/>
    </row>
    <row r="5" spans="1:8" ht="15">
      <c r="A5" s="12" t="s">
        <v>2</v>
      </c>
      <c r="B5" s="1" t="s">
        <v>3</v>
      </c>
      <c r="C5" s="2"/>
      <c r="D5" s="2"/>
      <c r="E5" s="2"/>
      <c r="F5" s="2"/>
      <c r="G5" s="2"/>
      <c r="H5" s="2"/>
    </row>
    <row r="6" spans="1:8" ht="15">
      <c r="A6" s="12" t="s">
        <v>4</v>
      </c>
      <c r="B6" s="1" t="s">
        <v>5</v>
      </c>
      <c r="C6" s="2"/>
      <c r="D6" s="2"/>
      <c r="E6" s="2"/>
      <c r="F6" s="2"/>
      <c r="G6" s="2"/>
      <c r="H6" s="2"/>
    </row>
    <row r="7" spans="1:8" ht="15">
      <c r="A7" s="12" t="s">
        <v>6</v>
      </c>
      <c r="B7" s="1" t="s">
        <v>7</v>
      </c>
      <c r="C7" s="2"/>
      <c r="D7" s="2"/>
      <c r="E7" s="2"/>
      <c r="F7" s="2"/>
      <c r="G7" s="2"/>
      <c r="H7" s="2"/>
    </row>
    <row r="8" spans="1:8" ht="15">
      <c r="A8" s="12" t="s">
        <v>8</v>
      </c>
      <c r="B8" s="1" t="s">
        <v>9</v>
      </c>
      <c r="C8" s="2"/>
      <c r="D8" s="2"/>
      <c r="E8" s="2"/>
      <c r="F8" s="2"/>
      <c r="G8" s="2"/>
      <c r="H8" s="2"/>
    </row>
    <row r="9" spans="1:8" ht="15">
      <c r="A9" s="12" t="s">
        <v>10</v>
      </c>
      <c r="B9" s="1" t="s">
        <v>11</v>
      </c>
      <c r="C9" s="2"/>
      <c r="D9" s="2"/>
      <c r="E9" s="2"/>
      <c r="F9" s="2"/>
      <c r="G9" s="2"/>
      <c r="H9" s="2"/>
    </row>
    <row r="10" spans="1:8">
      <c r="A10" s="11"/>
      <c r="B10" s="2"/>
      <c r="C10" s="2"/>
      <c r="D10" s="2"/>
      <c r="E10" s="2"/>
      <c r="F10" s="2"/>
      <c r="G10" s="2"/>
      <c r="H10" s="2"/>
    </row>
    <row r="11" spans="1:8" ht="15">
      <c r="A11" s="25" t="s">
        <v>12</v>
      </c>
      <c r="B11" s="26"/>
      <c r="C11" s="26"/>
      <c r="D11" s="26"/>
      <c r="E11" s="26"/>
      <c r="F11" s="26"/>
      <c r="G11" s="26"/>
      <c r="H11" s="26"/>
    </row>
    <row r="12" spans="1:8">
      <c r="A12" s="11"/>
      <c r="B12" s="2"/>
      <c r="C12" s="2"/>
      <c r="D12" s="2"/>
      <c r="E12" s="2"/>
      <c r="F12" s="2"/>
      <c r="G12" s="2"/>
      <c r="H12" s="2"/>
    </row>
    <row r="13" spans="1:8">
      <c r="A13" s="1" t="s">
        <v>13</v>
      </c>
      <c r="B13" s="1" t="s">
        <v>14</v>
      </c>
      <c r="C13" s="1" t="s">
        <v>15</v>
      </c>
      <c r="D13" s="1" t="s">
        <v>16</v>
      </c>
      <c r="E13" s="2"/>
      <c r="F13" s="2"/>
      <c r="G13" s="2"/>
      <c r="H13" s="2"/>
    </row>
    <row r="14" spans="1:8" ht="28.5">
      <c r="A14" s="1" t="s">
        <v>17</v>
      </c>
      <c r="B14" s="1" t="s">
        <v>18</v>
      </c>
      <c r="C14" s="1" t="s">
        <v>19</v>
      </c>
      <c r="D14" s="1" t="s">
        <v>20</v>
      </c>
      <c r="E14" s="2"/>
      <c r="F14" s="2"/>
      <c r="G14" s="2"/>
      <c r="H14" s="2"/>
    </row>
    <row r="15" spans="1:8">
      <c r="A15" s="1" t="s">
        <v>21</v>
      </c>
      <c r="B15" s="1" t="s">
        <v>22</v>
      </c>
      <c r="C15" s="1" t="s">
        <v>23</v>
      </c>
      <c r="D15" s="1" t="s">
        <v>24</v>
      </c>
      <c r="E15" s="2"/>
      <c r="F15" s="2"/>
      <c r="G15" s="2"/>
      <c r="H15" s="2"/>
    </row>
    <row r="16" spans="1:8">
      <c r="A16" s="11"/>
      <c r="B16" s="2"/>
      <c r="C16" s="2"/>
      <c r="D16" s="2"/>
      <c r="E16" s="2"/>
      <c r="F16" s="2"/>
      <c r="G16" s="2"/>
      <c r="H16" s="2"/>
    </row>
    <row r="17" spans="1:8" ht="15">
      <c r="A17" s="25" t="s">
        <v>25</v>
      </c>
      <c r="B17" s="26"/>
      <c r="C17" s="26"/>
      <c r="D17" s="26"/>
      <c r="E17" s="26"/>
      <c r="F17" s="26"/>
      <c r="G17" s="26"/>
      <c r="H17" s="26"/>
    </row>
    <row r="18" spans="1:8">
      <c r="A18" s="11"/>
      <c r="B18" s="2"/>
      <c r="C18" s="2"/>
      <c r="D18" s="2"/>
      <c r="E18" s="2"/>
      <c r="F18" s="2"/>
      <c r="G18" s="2"/>
      <c r="H18" s="2"/>
    </row>
    <row r="19" spans="1:8">
      <c r="A19" s="23" t="s">
        <v>26</v>
      </c>
      <c r="B19" s="23"/>
      <c r="C19" s="23"/>
      <c r="D19" s="23"/>
      <c r="E19" s="23"/>
      <c r="F19" s="23"/>
      <c r="G19" s="23"/>
      <c r="H19" s="23"/>
    </row>
    <row r="20" spans="1:8">
      <c r="A20" s="23" t="s">
        <v>27</v>
      </c>
      <c r="B20" s="23"/>
      <c r="C20" s="23"/>
      <c r="D20" s="23"/>
      <c r="E20" s="23"/>
      <c r="F20" s="23"/>
      <c r="G20" s="23"/>
      <c r="H20" s="23"/>
    </row>
    <row r="21" spans="1:8">
      <c r="A21" s="23" t="s">
        <v>28</v>
      </c>
      <c r="B21" s="23"/>
      <c r="C21" s="23"/>
      <c r="D21" s="23"/>
      <c r="E21" s="23"/>
      <c r="F21" s="23"/>
      <c r="G21" s="23"/>
      <c r="H21" s="23"/>
    </row>
    <row r="22" spans="1:8">
      <c r="A22" s="23" t="s">
        <v>29</v>
      </c>
      <c r="B22" s="23"/>
      <c r="C22" s="23"/>
      <c r="D22" s="23"/>
      <c r="E22" s="23"/>
      <c r="F22" s="23"/>
      <c r="G22" s="23"/>
      <c r="H22" s="23"/>
    </row>
    <row r="23" spans="1:8">
      <c r="A23" s="11"/>
      <c r="B23" s="2"/>
      <c r="C23" s="2"/>
      <c r="D23" s="2"/>
      <c r="E23" s="2"/>
      <c r="F23" s="2"/>
      <c r="G23" s="2"/>
      <c r="H23" s="2"/>
    </row>
    <row r="24" spans="1:8">
      <c r="A24" s="11"/>
      <c r="B24" s="2"/>
      <c r="C24" s="2"/>
      <c r="D24" s="2"/>
      <c r="E24" s="2"/>
      <c r="F24" s="2"/>
      <c r="G24" s="2"/>
      <c r="H24" s="2"/>
    </row>
    <row r="25" spans="1:8">
      <c r="A25" s="11"/>
      <c r="B25" s="2"/>
      <c r="C25" s="2"/>
      <c r="D25" s="2"/>
      <c r="E25" s="2"/>
      <c r="F25" s="2"/>
      <c r="G25" s="2"/>
      <c r="H25" s="2"/>
    </row>
    <row r="26" spans="1:8">
      <c r="A26" s="11"/>
    </row>
    <row r="27" spans="1:8">
      <c r="A27" s="11"/>
    </row>
    <row r="28" spans="1:8">
      <c r="A28" s="11"/>
    </row>
    <row r="29" spans="1:8">
      <c r="A29" s="11"/>
    </row>
    <row r="30" spans="1:8">
      <c r="A30" s="11"/>
    </row>
    <row r="31" spans="1:8">
      <c r="A31" s="11"/>
    </row>
    <row r="32" spans="1:8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</sheetData>
  <mergeCells count="8">
    <mergeCell ref="A20:H20"/>
    <mergeCell ref="A21:H21"/>
    <mergeCell ref="A22:H22"/>
    <mergeCell ref="A1:H1"/>
    <mergeCell ref="A3:H3"/>
    <mergeCell ref="A11:H11"/>
    <mergeCell ref="A17:H17"/>
    <mergeCell ref="A19:H19"/>
  </mergeCells>
  <phoneticPr fontId="1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0"/>
  <sheetViews>
    <sheetView workbookViewId="0"/>
  </sheetViews>
  <sheetFormatPr defaultRowHeight="14.25"/>
  <cols>
    <col min="1" max="1" width="20" customWidth="1"/>
    <col min="2" max="4" width="18" customWidth="1"/>
    <col min="5" max="8" width="22" customWidth="1"/>
  </cols>
  <sheetData>
    <row r="1" spans="1:8" ht="20.25">
      <c r="A1" s="21" t="s">
        <v>30</v>
      </c>
      <c r="B1" s="22"/>
      <c r="C1" s="22"/>
      <c r="D1" s="22"/>
      <c r="E1" s="22"/>
      <c r="F1" s="22"/>
      <c r="G1" s="22"/>
      <c r="H1" s="22"/>
    </row>
    <row r="2" spans="1:8">
      <c r="A2" s="11"/>
    </row>
    <row r="3" spans="1:8" ht="15">
      <c r="A3" s="13" t="s">
        <v>31</v>
      </c>
      <c r="B3" s="4" t="s">
        <v>32</v>
      </c>
      <c r="E3" s="27" t="s">
        <v>33</v>
      </c>
      <c r="F3" s="27"/>
      <c r="G3" s="27"/>
      <c r="H3" s="27"/>
    </row>
    <row r="4" spans="1:8" ht="15">
      <c r="A4" s="14" t="s">
        <v>34</v>
      </c>
      <c r="B4" s="9">
        <f>COUNTA(キャラ一覧!B2:B200)</f>
        <v>1</v>
      </c>
    </row>
    <row r="5" spans="1:8" ht="15">
      <c r="A5" s="14" t="s">
        <v>35</v>
      </c>
      <c r="B5" s="9">
        <f>COUNTIF(キャラ一覧!G2:G200,"あり")</f>
        <v>1</v>
      </c>
      <c r="E5" s="23" t="s">
        <v>36</v>
      </c>
      <c r="F5" s="23"/>
      <c r="G5" s="23"/>
      <c r="H5" s="23"/>
    </row>
    <row r="6" spans="1:8" ht="15">
      <c r="A6" s="14" t="s">
        <v>37</v>
      </c>
      <c r="B6" s="9">
        <f>COUNTIF(キャラ一覧!G2:G200,"隠し")</f>
        <v>0</v>
      </c>
      <c r="E6" s="23" t="s">
        <v>38</v>
      </c>
      <c r="F6" s="23"/>
      <c r="G6" s="23"/>
      <c r="H6" s="23"/>
    </row>
    <row r="7" spans="1:8" ht="15">
      <c r="A7" s="14" t="s">
        <v>39</v>
      </c>
      <c r="B7" s="9">
        <f>SUM(キャラ一覧!U2:U200)</f>
        <v>5</v>
      </c>
      <c r="E7" s="23" t="s">
        <v>40</v>
      </c>
      <c r="F7" s="23"/>
      <c r="G7" s="23"/>
      <c r="H7" s="23"/>
    </row>
    <row r="8" spans="1:8" ht="15">
      <c r="A8" s="14" t="s">
        <v>41</v>
      </c>
      <c r="B8" s="9">
        <f>COUNTA(イベント管理!E2:E300)</f>
        <v>2</v>
      </c>
      <c r="E8" s="23" t="s">
        <v>42</v>
      </c>
      <c r="F8" s="23"/>
      <c r="G8" s="23"/>
      <c r="H8" s="23"/>
    </row>
    <row r="9" spans="1:8" ht="15">
      <c r="A9" s="14" t="s">
        <v>43</v>
      </c>
      <c r="B9" s="9">
        <f>COUNTA(CG差分管理!E2:E300)</f>
        <v>2</v>
      </c>
      <c r="E9" s="23" t="s">
        <v>44</v>
      </c>
      <c r="F9" s="23"/>
      <c r="G9" s="23"/>
      <c r="H9" s="23"/>
    </row>
    <row r="10" spans="1:8">
      <c r="A10" s="11"/>
    </row>
    <row r="11" spans="1:8" ht="15">
      <c r="A11" s="13" t="s">
        <v>45</v>
      </c>
      <c r="B11" s="4" t="s">
        <v>41</v>
      </c>
      <c r="C11" s="4" t="s">
        <v>43</v>
      </c>
    </row>
    <row r="12" spans="1:8" ht="15">
      <c r="A12" s="14" t="s">
        <v>46</v>
      </c>
      <c r="B12" s="10">
        <f>COUNTIF(イベント管理!L2:L300,"未着手")</f>
        <v>1</v>
      </c>
      <c r="C12" s="10">
        <f>COUNTIF(CG差分管理!J2:J300,"未着手")</f>
        <v>1</v>
      </c>
    </row>
    <row r="13" spans="1:8" ht="15">
      <c r="A13" s="14" t="s">
        <v>47</v>
      </c>
      <c r="B13" s="10">
        <f>COUNTIF(イベント管理!L2:L300,"草案")</f>
        <v>1</v>
      </c>
      <c r="C13" s="10">
        <f>COUNTIF(CG差分管理!J2:J300,"草案")</f>
        <v>1</v>
      </c>
    </row>
    <row r="14" spans="1:8" ht="15">
      <c r="A14" s="14" t="s">
        <v>48</v>
      </c>
      <c r="B14" s="10">
        <f>COUNTIF(イベント管理!L2:L300,"作業中")</f>
        <v>0</v>
      </c>
      <c r="C14" s="10">
        <f>COUNTIF(CG差分管理!J2:J300,"作業中")</f>
        <v>0</v>
      </c>
    </row>
    <row r="15" spans="1:8" ht="15">
      <c r="A15" s="14" t="s">
        <v>49</v>
      </c>
      <c r="B15" s="10">
        <f>COUNTIF(イベント管理!L2:L300,"レビュー待ち")</f>
        <v>0</v>
      </c>
      <c r="C15" s="10">
        <f>COUNTIF(CG差分管理!J2:J300,"レビュー待ち")</f>
        <v>0</v>
      </c>
    </row>
    <row r="16" spans="1:8" ht="15">
      <c r="A16" s="14" t="s">
        <v>50</v>
      </c>
      <c r="B16" s="10">
        <f>COUNTIF(イベント管理!L2:L300,"完成")</f>
        <v>0</v>
      </c>
      <c r="C16" s="10">
        <f>COUNTIF(CG差分管理!J2:J300,"完成")</f>
        <v>0</v>
      </c>
    </row>
    <row r="17" spans="1:3" ht="15">
      <c r="A17" s="14" t="s">
        <v>51</v>
      </c>
      <c r="B17" s="10">
        <f>COUNTIF(イベント管理!L2:L300,"保留")</f>
        <v>0</v>
      </c>
      <c r="C17" s="10">
        <f>COUNTIF(CG差分管理!J2:J300,"保留")</f>
        <v>0</v>
      </c>
    </row>
    <row r="18" spans="1:3">
      <c r="A18" s="11"/>
    </row>
    <row r="19" spans="1:3">
      <c r="A19" s="11"/>
    </row>
    <row r="20" spans="1:3">
      <c r="A20" s="11"/>
    </row>
    <row r="21" spans="1:3">
      <c r="A21" s="11"/>
    </row>
    <row r="22" spans="1:3">
      <c r="A22" s="11"/>
    </row>
    <row r="23" spans="1:3">
      <c r="A23" s="11"/>
    </row>
    <row r="24" spans="1:3">
      <c r="A24" s="11"/>
    </row>
    <row r="25" spans="1:3">
      <c r="A25" s="11"/>
    </row>
    <row r="26" spans="1:3">
      <c r="A26" s="11"/>
    </row>
    <row r="27" spans="1:3">
      <c r="A27" s="11"/>
    </row>
    <row r="28" spans="1:3">
      <c r="A28" s="11"/>
    </row>
    <row r="29" spans="1:3">
      <c r="A29" s="11"/>
    </row>
    <row r="30" spans="1:3">
      <c r="A30" s="11"/>
    </row>
    <row r="31" spans="1:3">
      <c r="A31" s="11"/>
    </row>
    <row r="32" spans="1:3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</sheetData>
  <mergeCells count="7">
    <mergeCell ref="E8:H8"/>
    <mergeCell ref="E9:H9"/>
    <mergeCell ref="A1:H1"/>
    <mergeCell ref="E3:H3"/>
    <mergeCell ref="E5:H5"/>
    <mergeCell ref="E6:H6"/>
    <mergeCell ref="E7:H7"/>
  </mergeCells>
  <phoneticPr fontId="1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00"/>
  <sheetViews>
    <sheetView workbookViewId="0">
      <selection activeCell="A3" sqref="A3"/>
    </sheetView>
  </sheetViews>
  <sheetFormatPr defaultRowHeight="14.25"/>
  <cols>
    <col min="1" max="1" width="10" customWidth="1"/>
    <col min="2" max="2" width="16" customWidth="1"/>
    <col min="3" max="3" width="14" customWidth="1"/>
    <col min="4" max="4" width="8" customWidth="1"/>
    <col min="5" max="5" width="18" customWidth="1"/>
    <col min="6" max="6" width="16" customWidth="1"/>
    <col min="7" max="7" width="12" customWidth="1"/>
    <col min="8" max="8" width="10" customWidth="1"/>
    <col min="9" max="9" width="28" customWidth="1"/>
    <col min="10" max="11" width="30" customWidth="1"/>
    <col min="12" max="12" width="28" customWidth="1"/>
    <col min="13" max="13" width="32" customWidth="1"/>
    <col min="14" max="14" width="28" customWidth="1"/>
    <col min="15" max="16" width="30" customWidth="1"/>
    <col min="17" max="17" width="34" customWidth="1"/>
    <col min="18" max="18" width="28" customWidth="1"/>
    <col min="19" max="20" width="34" customWidth="1"/>
    <col min="21" max="21" width="12" customWidth="1"/>
    <col min="22" max="22" width="16" customWidth="1"/>
    <col min="23" max="23" width="36" customWidth="1"/>
  </cols>
  <sheetData>
    <row r="1" spans="1:23" ht="15">
      <c r="A1" s="13" t="s">
        <v>52</v>
      </c>
      <c r="B1" s="4" t="s">
        <v>13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15</v>
      </c>
      <c r="K1" s="4" t="s">
        <v>60</v>
      </c>
      <c r="L1" s="4" t="s">
        <v>61</v>
      </c>
      <c r="M1" s="4" t="s">
        <v>62</v>
      </c>
      <c r="N1" s="4" t="s">
        <v>63</v>
      </c>
      <c r="O1" s="4" t="s">
        <v>64</v>
      </c>
      <c r="P1" s="4" t="s">
        <v>17</v>
      </c>
      <c r="Q1" s="4" t="s">
        <v>65</v>
      </c>
      <c r="R1" s="4" t="s">
        <v>19</v>
      </c>
      <c r="S1" s="4" t="s">
        <v>20</v>
      </c>
      <c r="T1" s="4" t="s">
        <v>21</v>
      </c>
      <c r="U1" s="4" t="s">
        <v>66</v>
      </c>
      <c r="V1" s="4" t="s">
        <v>67</v>
      </c>
      <c r="W1" s="4" t="s">
        <v>68</v>
      </c>
    </row>
    <row r="2" spans="1:23" ht="28.5">
      <c r="A2" s="1" t="s">
        <v>69</v>
      </c>
      <c r="B2" s="1" t="s">
        <v>70</v>
      </c>
      <c r="C2" s="1" t="s">
        <v>71</v>
      </c>
      <c r="D2" s="1">
        <v>17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>
        <v>5</v>
      </c>
      <c r="V2" s="1" t="s">
        <v>47</v>
      </c>
      <c r="W2" s="1" t="s">
        <v>88</v>
      </c>
    </row>
    <row r="3" spans="1:23">
      <c r="A3" s="1" t="s">
        <v>89</v>
      </c>
      <c r="B3" s="1"/>
      <c r="C3" s="1"/>
      <c r="D3" s="1"/>
      <c r="E3" s="1"/>
      <c r="F3" s="1" t="s">
        <v>90</v>
      </c>
      <c r="G3" s="1" t="s">
        <v>91</v>
      </c>
      <c r="H3" s="1" t="s">
        <v>92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0</v>
      </c>
      <c r="V3" s="1" t="s">
        <v>46</v>
      </c>
      <c r="W3" s="1"/>
    </row>
    <row r="4" spans="1:2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>
      <c r="A201" s="11"/>
    </row>
    <row r="202" spans="1:23">
      <c r="A202" s="11"/>
    </row>
    <row r="203" spans="1:23">
      <c r="A203" s="11"/>
    </row>
    <row r="204" spans="1:23">
      <c r="A204" s="11"/>
    </row>
    <row r="205" spans="1:23">
      <c r="A205" s="11"/>
    </row>
    <row r="206" spans="1:23">
      <c r="A206" s="11"/>
    </row>
    <row r="207" spans="1:23">
      <c r="A207" s="11"/>
    </row>
    <row r="208" spans="1:23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</sheetData>
  <phoneticPr fontId="12"/>
  <conditionalFormatting sqref="H2:H200">
    <cfRule type="expression" dxfId="9" priority="1">
      <formula>H2="S"</formula>
    </cfRule>
  </conditionalFormatting>
  <conditionalFormatting sqref="V2:V200">
    <cfRule type="expression" dxfId="8" priority="2">
      <formula>V2="完成"</formula>
    </cfRule>
    <cfRule type="expression" dxfId="7" priority="3">
      <formula>V2="未着手"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リスト!$A$2:$A$12</xm:f>
          </x14:formula1>
          <xm:sqref>F2:F200</xm:sqref>
        </x14:dataValidation>
        <x14:dataValidation type="list" xr:uid="{00000000-0002-0000-0200-000001000000}">
          <x14:formula1>
            <xm:f>リスト!$B$2:$B$5</xm:f>
          </x14:formula1>
          <xm:sqref>G2:G200</xm:sqref>
        </x14:dataValidation>
        <x14:dataValidation type="list" xr:uid="{00000000-0002-0000-0200-000002000000}">
          <x14:formula1>
            <xm:f>リスト!$C$2:$C$6</xm:f>
          </x14:formula1>
          <xm:sqref>H2:H200</xm:sqref>
        </x14:dataValidation>
        <x14:dataValidation type="list" xr:uid="{00000000-0002-0000-0200-000003000000}">
          <x14:formula1>
            <xm:f>リスト!$D$2:$D$7</xm:f>
          </x14:formula1>
          <xm:sqref>V2:V200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0"/>
  <sheetViews>
    <sheetView workbookViewId="0">
      <selection activeCell="B3" sqref="B3"/>
    </sheetView>
  </sheetViews>
  <sheetFormatPr defaultRowHeight="14.25"/>
  <cols>
    <col min="1" max="1" width="12" customWidth="1"/>
    <col min="2" max="2" width="10" customWidth="1"/>
    <col min="3" max="4" width="16" customWidth="1"/>
    <col min="5" max="5" width="28" customWidth="1"/>
    <col min="6" max="6" width="26" customWidth="1"/>
    <col min="7" max="7" width="18" customWidth="1"/>
    <col min="8" max="8" width="30" customWidth="1"/>
    <col min="9" max="9" width="12" customWidth="1"/>
    <col min="10" max="10" width="16" customWidth="1"/>
    <col min="11" max="11" width="10" customWidth="1"/>
    <col min="12" max="12" width="36" customWidth="1"/>
  </cols>
  <sheetData>
    <row r="1" spans="1:12" ht="15">
      <c r="A1" s="13" t="s">
        <v>93</v>
      </c>
      <c r="B1" s="4" t="s">
        <v>52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45</v>
      </c>
      <c r="K1" s="4" t="s">
        <v>101</v>
      </c>
      <c r="L1" s="4" t="s">
        <v>68</v>
      </c>
    </row>
    <row r="2" spans="1:12" ht="16.5">
      <c r="A2" s="1" t="s">
        <v>102</v>
      </c>
      <c r="B2" s="1" t="s">
        <v>103</v>
      </c>
      <c r="C2" s="1" t="s">
        <v>70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  <c r="I2" s="1" t="s">
        <v>109</v>
      </c>
      <c r="J2" s="1" t="s">
        <v>47</v>
      </c>
      <c r="K2" s="1">
        <v>4</v>
      </c>
      <c r="L2" s="1" t="s">
        <v>88</v>
      </c>
    </row>
    <row r="3" spans="1:12" ht="16.5">
      <c r="A3" s="1" t="s">
        <v>102</v>
      </c>
      <c r="B3" s="1" t="s">
        <v>103</v>
      </c>
      <c r="C3" s="1" t="s">
        <v>70</v>
      </c>
      <c r="D3" s="1" t="s">
        <v>110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109</v>
      </c>
      <c r="J3" s="1" t="s">
        <v>46</v>
      </c>
      <c r="K3" s="1">
        <v>1</v>
      </c>
      <c r="L3" s="1"/>
    </row>
    <row r="4" spans="1:12" ht="16.5">
      <c r="A4" s="1" t="s">
        <v>115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6.5">
      <c r="A5" s="1" t="s">
        <v>116</v>
      </c>
      <c r="B5" s="1" t="s">
        <v>89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16.5">
      <c r="A6" s="1" t="s">
        <v>117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6.5">
      <c r="A7" s="1" t="s">
        <v>118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6.5">
      <c r="A8" s="1" t="s">
        <v>119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16.5">
      <c r="A9" s="1" t="s">
        <v>120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</sheetData>
  <phoneticPr fontId="12"/>
  <conditionalFormatting sqref="I2:I300">
    <cfRule type="expression" dxfId="6" priority="1">
      <formula>I2="高"</formula>
    </cfRule>
  </conditionalFormatting>
  <conditionalFormatting sqref="J2:J300">
    <cfRule type="expression" dxfId="5" priority="2">
      <formula>J2="完成"</formula>
    </cfRule>
    <cfRule type="expression" dxfId="4" priority="3">
      <formula>J2="未着手"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500-000000000000}">
          <x14:formula1>
            <xm:f>リスト!$G$2:$G$9</xm:f>
          </x14:formula1>
          <xm:sqref>D2:D300</xm:sqref>
        </x14:dataValidation>
        <x14:dataValidation type="list" xr:uid="{00000000-0002-0000-0500-000001000000}">
          <x14:formula1>
            <xm:f>リスト!$E$2:$E$5</xm:f>
          </x14:formula1>
          <xm:sqref>I2:I300</xm:sqref>
        </x14:dataValidation>
        <x14:dataValidation type="list" xr:uid="{00000000-0002-0000-0500-000002000000}">
          <x14:formula1>
            <xm:f>リスト!$D$2:$D$7</xm:f>
          </x14:formula1>
          <xm:sqref>J2:J300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3F9E8-42F4-4AF1-80AB-AE97F6259BC5}">
  <dimension ref="A1:G289"/>
  <sheetViews>
    <sheetView tabSelected="1" topLeftCell="A41" workbookViewId="0">
      <selection activeCell="C48" sqref="C48"/>
    </sheetView>
  </sheetViews>
  <sheetFormatPr defaultRowHeight="14.25"/>
  <cols>
    <col min="1" max="1" width="20" customWidth="1"/>
    <col min="2" max="2" width="34" customWidth="1"/>
    <col min="3" max="3" width="16" customWidth="1"/>
    <col min="4" max="4" width="20" customWidth="1"/>
    <col min="5" max="5" width="12" customWidth="1"/>
    <col min="6" max="6" width="34" customWidth="1"/>
    <col min="7" max="7" width="31.125" customWidth="1"/>
  </cols>
  <sheetData>
    <row r="1" spans="1:7" ht="20.25">
      <c r="A1" s="21" t="s">
        <v>121</v>
      </c>
      <c r="B1" s="22"/>
      <c r="C1" s="22"/>
      <c r="D1" s="22"/>
      <c r="E1" s="22"/>
      <c r="F1" s="22"/>
      <c r="G1" s="16"/>
    </row>
    <row r="2" spans="1:7">
      <c r="A2" s="11"/>
    </row>
    <row r="3" spans="1:7" ht="16.5">
      <c r="A3" s="13" t="s">
        <v>122</v>
      </c>
      <c r="B3" s="4" t="s">
        <v>31</v>
      </c>
      <c r="C3" s="4" t="s">
        <v>123</v>
      </c>
      <c r="D3" s="4" t="s">
        <v>124</v>
      </c>
      <c r="E3" s="4" t="s">
        <v>58</v>
      </c>
      <c r="F3" s="4" t="s">
        <v>68</v>
      </c>
      <c r="G3" s="4" t="s">
        <v>125</v>
      </c>
    </row>
    <row r="4" spans="1:7" ht="15">
      <c r="A4" s="5" t="s">
        <v>126</v>
      </c>
      <c r="B4" s="3"/>
      <c r="C4" s="3"/>
      <c r="D4" s="3"/>
      <c r="E4" s="3"/>
      <c r="F4" s="3"/>
      <c r="G4" s="3"/>
    </row>
    <row r="5" spans="1:7" ht="16.5">
      <c r="A5" s="1" t="s">
        <v>126</v>
      </c>
      <c r="B5" s="1" t="s">
        <v>13</v>
      </c>
      <c r="C5" s="1"/>
      <c r="D5" s="1" t="s">
        <v>127</v>
      </c>
      <c r="E5" s="6" t="s">
        <v>128</v>
      </c>
      <c r="F5" s="1" t="s">
        <v>129</v>
      </c>
      <c r="G5" s="1"/>
    </row>
    <row r="6" spans="1:7">
      <c r="A6" s="1" t="s">
        <v>126</v>
      </c>
      <c r="B6" s="1" t="s">
        <v>130</v>
      </c>
      <c r="C6" s="1"/>
      <c r="D6" s="1" t="s">
        <v>127</v>
      </c>
      <c r="E6" s="7" t="s">
        <v>131</v>
      </c>
      <c r="F6" s="1"/>
      <c r="G6" s="1"/>
    </row>
    <row r="7" spans="1:7" ht="16.5">
      <c r="A7" s="1" t="s">
        <v>126</v>
      </c>
      <c r="B7" s="1" t="s">
        <v>54</v>
      </c>
      <c r="C7" s="1" t="s">
        <v>132</v>
      </c>
      <c r="D7" s="1" t="s">
        <v>127</v>
      </c>
      <c r="E7" s="7" t="s">
        <v>131</v>
      </c>
      <c r="F7" s="1"/>
      <c r="G7" s="1"/>
    </row>
    <row r="8" spans="1:7">
      <c r="A8" s="1" t="s">
        <v>126</v>
      </c>
      <c r="B8" s="1" t="s">
        <v>133</v>
      </c>
      <c r="C8" s="1" t="s">
        <v>134</v>
      </c>
      <c r="D8" s="1" t="s">
        <v>127</v>
      </c>
      <c r="E8" s="7" t="s">
        <v>131</v>
      </c>
      <c r="F8" s="1"/>
      <c r="G8" s="1"/>
    </row>
    <row r="9" spans="1:7" ht="15">
      <c r="A9" s="1" t="s">
        <v>126</v>
      </c>
      <c r="B9" s="1" t="s">
        <v>135</v>
      </c>
      <c r="C9" s="1" t="s">
        <v>136</v>
      </c>
      <c r="D9" s="1" t="s">
        <v>127</v>
      </c>
      <c r="E9" s="6" t="s">
        <v>128</v>
      </c>
      <c r="F9" s="1"/>
      <c r="G9" s="1"/>
    </row>
    <row r="10" spans="1:7" ht="16.5">
      <c r="A10" s="1" t="s">
        <v>126</v>
      </c>
      <c r="B10" s="1" t="s">
        <v>137</v>
      </c>
      <c r="C10" s="1" t="s">
        <v>138</v>
      </c>
      <c r="D10" s="1" t="s">
        <v>127</v>
      </c>
      <c r="E10" s="6" t="s">
        <v>128</v>
      </c>
      <c r="F10" s="1"/>
      <c r="G10" s="1"/>
    </row>
    <row r="11" spans="1:7" ht="15">
      <c r="A11" s="5" t="s">
        <v>139</v>
      </c>
      <c r="B11" s="3"/>
      <c r="C11" s="3"/>
      <c r="D11" s="3"/>
      <c r="E11" s="3"/>
      <c r="F11" s="3"/>
      <c r="G11" s="3"/>
    </row>
    <row r="12" spans="1:7" ht="16.5">
      <c r="A12" s="1" t="s">
        <v>139</v>
      </c>
      <c r="B12" s="1" t="s">
        <v>15</v>
      </c>
      <c r="C12" s="1" t="s">
        <v>140</v>
      </c>
      <c r="D12" s="1" t="s">
        <v>141</v>
      </c>
      <c r="E12" s="6" t="s">
        <v>128</v>
      </c>
      <c r="F12" s="1"/>
      <c r="G12" s="1"/>
    </row>
    <row r="13" spans="1:7">
      <c r="A13" s="1" t="s">
        <v>139</v>
      </c>
      <c r="B13" s="1" t="s">
        <v>60</v>
      </c>
      <c r="C13" s="1"/>
      <c r="D13" s="1" t="s">
        <v>141</v>
      </c>
      <c r="E13" s="8" t="s">
        <v>142</v>
      </c>
      <c r="F13" s="1"/>
      <c r="G13" s="1"/>
    </row>
    <row r="14" spans="1:7" ht="15">
      <c r="A14" s="1" t="s">
        <v>139</v>
      </c>
      <c r="B14" s="1" t="s">
        <v>143</v>
      </c>
      <c r="C14" s="1"/>
      <c r="D14" s="1" t="s">
        <v>141</v>
      </c>
      <c r="E14" s="6" t="s">
        <v>128</v>
      </c>
      <c r="F14" s="1"/>
      <c r="G14" s="1"/>
    </row>
    <row r="15" spans="1:7" ht="15">
      <c r="A15" s="5" t="s">
        <v>144</v>
      </c>
      <c r="B15" s="3"/>
      <c r="C15" s="3"/>
      <c r="D15" s="3"/>
      <c r="E15" s="3"/>
      <c r="F15" s="3"/>
      <c r="G15" s="3"/>
    </row>
    <row r="16" spans="1:7" ht="16.5">
      <c r="A16" s="1" t="s">
        <v>144</v>
      </c>
      <c r="B16" s="1" t="s">
        <v>145</v>
      </c>
      <c r="C16" s="1" t="s">
        <v>146</v>
      </c>
      <c r="D16" s="1" t="s">
        <v>147</v>
      </c>
      <c r="E16" s="6" t="s">
        <v>128</v>
      </c>
      <c r="F16" s="1"/>
      <c r="G16" s="1"/>
    </row>
    <row r="17" spans="1:7" ht="16.5">
      <c r="A17" s="1" t="s">
        <v>144</v>
      </c>
      <c r="B17" s="1" t="s">
        <v>148</v>
      </c>
      <c r="C17" s="1" t="s">
        <v>146</v>
      </c>
      <c r="D17" s="1" t="s">
        <v>147</v>
      </c>
      <c r="E17" s="8" t="s">
        <v>142</v>
      </c>
      <c r="F17" s="1"/>
      <c r="G17" s="1"/>
    </row>
    <row r="18" spans="1:7" ht="16.5">
      <c r="A18" s="1" t="s">
        <v>144</v>
      </c>
      <c r="B18" s="1" t="s">
        <v>149</v>
      </c>
      <c r="C18" s="1" t="s">
        <v>150</v>
      </c>
      <c r="D18" s="1" t="s">
        <v>147</v>
      </c>
      <c r="E18" s="8" t="s">
        <v>142</v>
      </c>
      <c r="F18" s="1"/>
      <c r="G18" s="1"/>
    </row>
    <row r="19" spans="1:7" ht="16.5">
      <c r="A19" s="1" t="s">
        <v>144</v>
      </c>
      <c r="B19" s="1" t="s">
        <v>151</v>
      </c>
      <c r="C19" s="1" t="s">
        <v>150</v>
      </c>
      <c r="D19" s="1" t="s">
        <v>147</v>
      </c>
      <c r="E19" s="8" t="s">
        <v>142</v>
      </c>
      <c r="F19" s="1"/>
      <c r="G19" s="1"/>
    </row>
    <row r="20" spans="1:7" ht="33.75">
      <c r="A20" s="1" t="s">
        <v>144</v>
      </c>
      <c r="B20" s="1" t="s">
        <v>152</v>
      </c>
      <c r="C20" s="1" t="s">
        <v>153</v>
      </c>
      <c r="D20" s="1" t="s">
        <v>147</v>
      </c>
      <c r="E20" s="8" t="s">
        <v>142</v>
      </c>
      <c r="F20" s="1"/>
      <c r="G20" s="1"/>
    </row>
    <row r="21" spans="1:7" ht="16.5">
      <c r="A21" s="1" t="s">
        <v>144</v>
      </c>
      <c r="B21" s="1" t="s">
        <v>154</v>
      </c>
      <c r="C21" s="1" t="s">
        <v>155</v>
      </c>
      <c r="D21" s="1" t="s">
        <v>147</v>
      </c>
      <c r="E21" s="8" t="s">
        <v>142</v>
      </c>
      <c r="F21" s="1"/>
      <c r="G21" s="1"/>
    </row>
    <row r="22" spans="1:7" ht="16.5">
      <c r="A22" s="1" t="s">
        <v>144</v>
      </c>
      <c r="B22" s="1" t="s">
        <v>156</v>
      </c>
      <c r="C22" s="1" t="s">
        <v>157</v>
      </c>
      <c r="D22" s="1" t="s">
        <v>147</v>
      </c>
      <c r="E22" s="6" t="s">
        <v>128</v>
      </c>
      <c r="F22" s="1"/>
      <c r="G22" s="1"/>
    </row>
    <row r="23" spans="1:7" ht="16.5">
      <c r="A23" s="1" t="s">
        <v>144</v>
      </c>
      <c r="B23" s="1" t="s">
        <v>158</v>
      </c>
      <c r="C23" s="1" t="s">
        <v>159</v>
      </c>
      <c r="D23" s="1" t="s">
        <v>147</v>
      </c>
      <c r="E23" s="8" t="s">
        <v>142</v>
      </c>
      <c r="F23" s="1"/>
      <c r="G23" s="1"/>
    </row>
    <row r="24" spans="1:7" ht="16.5">
      <c r="A24" s="1" t="s">
        <v>144</v>
      </c>
      <c r="B24" s="1" t="s">
        <v>160</v>
      </c>
      <c r="C24" s="1" t="s">
        <v>161</v>
      </c>
      <c r="D24" s="1" t="s">
        <v>147</v>
      </c>
      <c r="E24" s="8" t="s">
        <v>142</v>
      </c>
      <c r="F24" s="1"/>
      <c r="G24" s="1"/>
    </row>
    <row r="25" spans="1:7" ht="16.5">
      <c r="A25" s="1" t="s">
        <v>144</v>
      </c>
      <c r="B25" s="1" t="s">
        <v>162</v>
      </c>
      <c r="C25" s="1" t="s">
        <v>163</v>
      </c>
      <c r="D25" s="1" t="s">
        <v>147</v>
      </c>
      <c r="E25" s="8" t="s">
        <v>142</v>
      </c>
      <c r="F25" s="1"/>
      <c r="G25" s="1"/>
    </row>
    <row r="26" spans="1:7">
      <c r="A26" s="1" t="s">
        <v>144</v>
      </c>
      <c r="B26" s="1" t="s">
        <v>164</v>
      </c>
      <c r="C26" s="1"/>
      <c r="D26" s="1" t="s">
        <v>147</v>
      </c>
      <c r="E26" s="8" t="s">
        <v>142</v>
      </c>
      <c r="F26" s="1"/>
      <c r="G26" s="1"/>
    </row>
    <row r="27" spans="1:7">
      <c r="A27" s="1" t="s">
        <v>144</v>
      </c>
      <c r="B27" s="1" t="s">
        <v>165</v>
      </c>
      <c r="C27" s="1"/>
      <c r="D27" s="1" t="s">
        <v>147</v>
      </c>
      <c r="E27" s="8" t="s">
        <v>142</v>
      </c>
      <c r="F27" s="1"/>
      <c r="G27" s="1"/>
    </row>
    <row r="28" spans="1:7">
      <c r="A28" s="1" t="s">
        <v>144</v>
      </c>
      <c r="B28" s="1" t="s">
        <v>166</v>
      </c>
      <c r="C28" s="1"/>
      <c r="D28" s="1" t="s">
        <v>147</v>
      </c>
      <c r="E28" s="8" t="s">
        <v>142</v>
      </c>
      <c r="F28" s="1"/>
      <c r="G28" s="1"/>
    </row>
    <row r="29" spans="1:7" ht="16.5">
      <c r="A29" s="1" t="s">
        <v>144</v>
      </c>
      <c r="B29" s="1" t="s">
        <v>167</v>
      </c>
      <c r="C29" s="1" t="s">
        <v>150</v>
      </c>
      <c r="D29" s="1" t="s">
        <v>147</v>
      </c>
      <c r="E29" s="6" t="s">
        <v>128</v>
      </c>
      <c r="F29" s="1"/>
      <c r="G29" s="1"/>
    </row>
    <row r="30" spans="1:7" ht="15">
      <c r="A30" s="5" t="s">
        <v>168</v>
      </c>
      <c r="B30" s="3"/>
      <c r="C30" s="3"/>
      <c r="D30" s="3"/>
      <c r="E30" s="3"/>
      <c r="F30" s="3"/>
      <c r="G30" s="3"/>
    </row>
    <row r="31" spans="1:7" ht="27">
      <c r="A31" s="1" t="s">
        <v>168</v>
      </c>
      <c r="B31" s="1" t="s">
        <v>169</v>
      </c>
      <c r="C31" s="32" t="s">
        <v>170</v>
      </c>
      <c r="D31" s="1" t="s">
        <v>171</v>
      </c>
      <c r="E31" s="6" t="s">
        <v>128</v>
      </c>
      <c r="F31" s="1"/>
      <c r="G31" s="1"/>
    </row>
    <row r="32" spans="1:7" ht="27">
      <c r="A32" s="1" t="s">
        <v>168</v>
      </c>
      <c r="B32" s="1" t="s">
        <v>172</v>
      </c>
      <c r="C32" s="30" t="s">
        <v>173</v>
      </c>
      <c r="D32" s="1" t="s">
        <v>171</v>
      </c>
      <c r="E32" s="6" t="s">
        <v>128</v>
      </c>
      <c r="F32" s="1"/>
      <c r="G32" s="1"/>
    </row>
    <row r="33" spans="1:7" ht="16.5">
      <c r="A33" s="1" t="s">
        <v>168</v>
      </c>
      <c r="B33" s="1" t="s">
        <v>174</v>
      </c>
      <c r="C33" s="31" t="s">
        <v>175</v>
      </c>
      <c r="D33" s="1" t="s">
        <v>171</v>
      </c>
      <c r="E33" s="8" t="s">
        <v>142</v>
      </c>
      <c r="F33" s="1"/>
      <c r="G33" s="1"/>
    </row>
    <row r="34" spans="1:7" ht="16.5">
      <c r="A34" s="1" t="s">
        <v>168</v>
      </c>
      <c r="B34" s="1" t="s">
        <v>176</v>
      </c>
      <c r="C34" s="33" t="s">
        <v>177</v>
      </c>
      <c r="D34" s="1" t="s">
        <v>171</v>
      </c>
      <c r="E34" s="8" t="s">
        <v>142</v>
      </c>
      <c r="F34" s="1" t="s">
        <v>178</v>
      </c>
      <c r="G34" s="1"/>
    </row>
    <row r="35" spans="1:7">
      <c r="A35" s="1" t="s">
        <v>168</v>
      </c>
      <c r="B35" s="1" t="s">
        <v>179</v>
      </c>
      <c r="C35" s="1"/>
      <c r="D35" s="1" t="s">
        <v>171</v>
      </c>
      <c r="E35" s="8" t="s">
        <v>142</v>
      </c>
      <c r="F35" s="1"/>
      <c r="G35" s="1"/>
    </row>
    <row r="36" spans="1:7" ht="33.75">
      <c r="A36" s="1" t="s">
        <v>168</v>
      </c>
      <c r="B36" s="1" t="s">
        <v>180</v>
      </c>
      <c r="C36" s="34" t="s">
        <v>181</v>
      </c>
      <c r="D36" s="1" t="s">
        <v>171</v>
      </c>
      <c r="E36" s="8" t="s">
        <v>142</v>
      </c>
      <c r="F36" s="1"/>
      <c r="G36" s="1"/>
    </row>
    <row r="37" spans="1:7" ht="33.75">
      <c r="A37" s="1" t="s">
        <v>168</v>
      </c>
      <c r="B37" s="1" t="s">
        <v>182</v>
      </c>
      <c r="C37" s="31" t="s">
        <v>183</v>
      </c>
      <c r="D37" s="1" t="s">
        <v>171</v>
      </c>
      <c r="E37" s="8" t="s">
        <v>142</v>
      </c>
      <c r="F37" s="1"/>
      <c r="G37" s="1"/>
    </row>
    <row r="38" spans="1:7" ht="16.5">
      <c r="A38" s="1" t="s">
        <v>168</v>
      </c>
      <c r="B38" s="1" t="s">
        <v>184</v>
      </c>
      <c r="C38" s="35" t="s">
        <v>185</v>
      </c>
      <c r="D38" s="1" t="s">
        <v>171</v>
      </c>
      <c r="E38" s="8" t="s">
        <v>142</v>
      </c>
      <c r="F38" s="1"/>
      <c r="G38" s="1"/>
    </row>
    <row r="39" spans="1:7" ht="33.75">
      <c r="A39" s="1" t="s">
        <v>168</v>
      </c>
      <c r="B39" s="1" t="s">
        <v>186</v>
      </c>
      <c r="C39" s="1" t="s">
        <v>187</v>
      </c>
      <c r="D39" s="1" t="s">
        <v>171</v>
      </c>
      <c r="E39" s="8" t="s">
        <v>142</v>
      </c>
      <c r="F39" s="1"/>
      <c r="G39" s="1"/>
    </row>
    <row r="40" spans="1:7" ht="16.5">
      <c r="A40" s="1" t="s">
        <v>168</v>
      </c>
      <c r="B40" s="1" t="s">
        <v>188</v>
      </c>
      <c r="C40" s="1"/>
      <c r="D40" s="1" t="s">
        <v>171</v>
      </c>
      <c r="E40" s="8" t="s">
        <v>142</v>
      </c>
      <c r="F40" s="1" t="s">
        <v>189</v>
      </c>
      <c r="G40" s="1"/>
    </row>
    <row r="41" spans="1:7">
      <c r="A41" s="1" t="s">
        <v>168</v>
      </c>
      <c r="B41" s="1" t="s">
        <v>190</v>
      </c>
      <c r="C41" s="1"/>
      <c r="D41" s="1" t="s">
        <v>171</v>
      </c>
      <c r="E41" s="8" t="s">
        <v>142</v>
      </c>
      <c r="F41" s="1"/>
      <c r="G41" s="1"/>
    </row>
    <row r="42" spans="1:7">
      <c r="A42" s="1" t="s">
        <v>168</v>
      </c>
      <c r="B42" s="1" t="s">
        <v>191</v>
      </c>
      <c r="C42" s="1"/>
      <c r="D42" s="1" t="s">
        <v>171</v>
      </c>
      <c r="E42" s="8" t="s">
        <v>142</v>
      </c>
      <c r="F42" s="1"/>
      <c r="G42" s="1"/>
    </row>
    <row r="43" spans="1:7" ht="15">
      <c r="A43" s="1" t="s">
        <v>168</v>
      </c>
      <c r="B43" s="1" t="s">
        <v>192</v>
      </c>
      <c r="C43" s="1"/>
      <c r="D43" s="1" t="s">
        <v>171</v>
      </c>
      <c r="E43" s="6" t="s">
        <v>128</v>
      </c>
      <c r="F43" s="1"/>
      <c r="G43" s="1"/>
    </row>
    <row r="44" spans="1:7" ht="28.5">
      <c r="A44" s="1" t="s">
        <v>168</v>
      </c>
      <c r="B44" s="1" t="s">
        <v>193</v>
      </c>
      <c r="C44" s="1"/>
      <c r="D44" s="1" t="s">
        <v>171</v>
      </c>
      <c r="E44" s="8" t="s">
        <v>142</v>
      </c>
      <c r="F44" s="1"/>
      <c r="G44" s="1"/>
    </row>
    <row r="45" spans="1:7" ht="15">
      <c r="A45" s="5" t="s">
        <v>194</v>
      </c>
      <c r="B45" s="3"/>
      <c r="C45" s="3"/>
      <c r="D45" s="3"/>
      <c r="E45" s="3"/>
      <c r="F45" s="3"/>
      <c r="G45" s="3"/>
    </row>
    <row r="46" spans="1:7" ht="16.5">
      <c r="A46" s="1" t="s">
        <v>194</v>
      </c>
      <c r="B46" s="1" t="s">
        <v>195</v>
      </c>
      <c r="C46" s="1" t="s">
        <v>196</v>
      </c>
      <c r="D46" s="1" t="s">
        <v>197</v>
      </c>
      <c r="E46" s="6" t="s">
        <v>128</v>
      </c>
      <c r="F46" s="1"/>
      <c r="G46" s="1"/>
    </row>
    <row r="47" spans="1:7">
      <c r="A47" s="1" t="s">
        <v>194</v>
      </c>
      <c r="B47" s="1" t="s">
        <v>198</v>
      </c>
      <c r="C47" s="1"/>
      <c r="D47" s="1" t="s">
        <v>197</v>
      </c>
      <c r="E47" s="8" t="s">
        <v>142</v>
      </c>
      <c r="F47" s="1"/>
      <c r="G47" s="1"/>
    </row>
    <row r="48" spans="1:7" ht="16.5">
      <c r="A48" s="1" t="s">
        <v>194</v>
      </c>
      <c r="B48" s="1" t="s">
        <v>199</v>
      </c>
      <c r="C48" s="1"/>
      <c r="D48" s="1" t="s">
        <v>197</v>
      </c>
      <c r="E48" s="6" t="s">
        <v>128</v>
      </c>
      <c r="F48" s="1"/>
      <c r="G48" s="1"/>
    </row>
    <row r="49" spans="1:7" ht="15">
      <c r="A49" s="1" t="s">
        <v>194</v>
      </c>
      <c r="B49" s="1" t="s">
        <v>200</v>
      </c>
      <c r="C49" s="1"/>
      <c r="D49" s="1" t="s">
        <v>197</v>
      </c>
      <c r="E49" s="6" t="s">
        <v>128</v>
      </c>
      <c r="F49" s="1"/>
      <c r="G49" s="1"/>
    </row>
    <row r="50" spans="1:7">
      <c r="A50" s="1" t="s">
        <v>194</v>
      </c>
      <c r="B50" s="1" t="s">
        <v>201</v>
      </c>
      <c r="C50" s="1"/>
      <c r="D50" s="1" t="s">
        <v>197</v>
      </c>
      <c r="E50" s="8" t="s">
        <v>142</v>
      </c>
      <c r="F50" s="1"/>
      <c r="G50" s="1"/>
    </row>
    <row r="51" spans="1:7">
      <c r="A51" s="1" t="s">
        <v>194</v>
      </c>
      <c r="B51" s="1" t="s">
        <v>202</v>
      </c>
      <c r="C51" s="1"/>
      <c r="D51" s="1" t="s">
        <v>197</v>
      </c>
      <c r="E51" s="8" t="s">
        <v>142</v>
      </c>
      <c r="F51" s="1"/>
      <c r="G51" s="1"/>
    </row>
    <row r="52" spans="1:7">
      <c r="A52" s="1" t="s">
        <v>194</v>
      </c>
      <c r="B52" s="1" t="s">
        <v>203</v>
      </c>
      <c r="C52" s="1"/>
      <c r="D52" s="1" t="s">
        <v>197</v>
      </c>
      <c r="E52" s="8" t="s">
        <v>142</v>
      </c>
      <c r="F52" s="1"/>
      <c r="G52" s="1"/>
    </row>
    <row r="53" spans="1:7" ht="16.5">
      <c r="A53" s="1"/>
      <c r="B53" s="1" t="s">
        <v>204</v>
      </c>
      <c r="C53" s="1"/>
      <c r="D53" s="1" t="s">
        <v>197</v>
      </c>
      <c r="E53" s="8" t="s">
        <v>142</v>
      </c>
      <c r="F53" s="1"/>
      <c r="G53" s="1"/>
    </row>
    <row r="54" spans="1:7">
      <c r="A54" s="1" t="s">
        <v>194</v>
      </c>
      <c r="B54" s="1" t="s">
        <v>205</v>
      </c>
      <c r="C54" s="1"/>
      <c r="D54" s="1" t="s">
        <v>197</v>
      </c>
      <c r="E54" s="8" t="s">
        <v>142</v>
      </c>
      <c r="F54" s="1"/>
      <c r="G54" s="1"/>
    </row>
    <row r="55" spans="1:7" ht="33.75">
      <c r="A55" s="1" t="s">
        <v>194</v>
      </c>
      <c r="B55" s="1" t="s">
        <v>206</v>
      </c>
      <c r="C55" s="1" t="s">
        <v>207</v>
      </c>
      <c r="D55" s="1" t="s">
        <v>197</v>
      </c>
      <c r="E55" s="8" t="s">
        <v>142</v>
      </c>
      <c r="F55" s="1"/>
      <c r="G55" s="1"/>
    </row>
    <row r="56" spans="1:7" ht="16.5">
      <c r="A56" s="5" t="s">
        <v>208</v>
      </c>
      <c r="B56" s="3"/>
      <c r="C56" s="3"/>
      <c r="D56" s="3"/>
      <c r="E56" s="3"/>
      <c r="F56" s="3"/>
      <c r="G56" s="3"/>
    </row>
    <row r="57" spans="1:7" ht="16.5">
      <c r="A57" s="1" t="s">
        <v>208</v>
      </c>
      <c r="B57" s="1" t="s">
        <v>209</v>
      </c>
      <c r="C57" s="1"/>
      <c r="D57" s="1" t="s">
        <v>210</v>
      </c>
      <c r="E57" s="6" t="s">
        <v>128</v>
      </c>
      <c r="F57" s="1"/>
      <c r="G57" s="1"/>
    </row>
    <row r="58" spans="1:7">
      <c r="A58" s="1" t="s">
        <v>208</v>
      </c>
      <c r="B58" s="1" t="s">
        <v>211</v>
      </c>
      <c r="C58" s="1"/>
      <c r="D58" s="1" t="s">
        <v>210</v>
      </c>
      <c r="E58" s="8" t="s">
        <v>142</v>
      </c>
      <c r="F58" s="1"/>
      <c r="G58" s="1"/>
    </row>
    <row r="59" spans="1:7">
      <c r="A59" s="1" t="s">
        <v>208</v>
      </c>
      <c r="B59" s="1" t="s">
        <v>212</v>
      </c>
      <c r="C59" s="1"/>
      <c r="D59" s="1" t="s">
        <v>210</v>
      </c>
      <c r="E59" s="8" t="s">
        <v>142</v>
      </c>
      <c r="F59" s="1"/>
      <c r="G59" s="1"/>
    </row>
    <row r="60" spans="1:7">
      <c r="A60" s="1" t="s">
        <v>208</v>
      </c>
      <c r="B60" s="1" t="s">
        <v>213</v>
      </c>
      <c r="C60" s="1"/>
      <c r="D60" s="1" t="s">
        <v>210</v>
      </c>
      <c r="E60" s="8" t="s">
        <v>142</v>
      </c>
      <c r="F60" s="1"/>
      <c r="G60" s="1"/>
    </row>
    <row r="61" spans="1:7" ht="15">
      <c r="A61" s="1" t="s">
        <v>208</v>
      </c>
      <c r="B61" s="1" t="s">
        <v>214</v>
      </c>
      <c r="C61" s="1"/>
      <c r="D61" s="1" t="s">
        <v>210</v>
      </c>
      <c r="E61" s="6" t="s">
        <v>128</v>
      </c>
      <c r="F61" s="1"/>
      <c r="G61" s="1"/>
    </row>
    <row r="62" spans="1:7" ht="15">
      <c r="A62" s="1" t="s">
        <v>208</v>
      </c>
      <c r="B62" s="1" t="s">
        <v>215</v>
      </c>
      <c r="C62" s="1"/>
      <c r="D62" s="1" t="s">
        <v>210</v>
      </c>
      <c r="E62" s="6" t="s">
        <v>128</v>
      </c>
      <c r="F62" s="1"/>
      <c r="G62" s="1"/>
    </row>
    <row r="63" spans="1:7">
      <c r="A63" s="1" t="s">
        <v>208</v>
      </c>
      <c r="B63" s="1" t="s">
        <v>216</v>
      </c>
      <c r="C63" s="1"/>
      <c r="D63" s="1" t="s">
        <v>210</v>
      </c>
      <c r="E63" s="8" t="s">
        <v>142</v>
      </c>
      <c r="F63" s="1"/>
      <c r="G63" s="1"/>
    </row>
    <row r="64" spans="1:7">
      <c r="A64" s="1" t="s">
        <v>208</v>
      </c>
      <c r="B64" s="1" t="s">
        <v>217</v>
      </c>
      <c r="C64" s="1"/>
      <c r="D64" s="1" t="s">
        <v>210</v>
      </c>
      <c r="E64" s="8" t="s">
        <v>142</v>
      </c>
      <c r="F64" s="1"/>
      <c r="G64" s="1"/>
    </row>
    <row r="65" spans="1:7" ht="15">
      <c r="A65" s="1" t="s">
        <v>208</v>
      </c>
      <c r="B65" s="1" t="s">
        <v>218</v>
      </c>
      <c r="C65" s="1"/>
      <c r="D65" s="1" t="s">
        <v>210</v>
      </c>
      <c r="E65" s="6" t="s">
        <v>128</v>
      </c>
      <c r="F65" s="1"/>
      <c r="G65" s="1"/>
    </row>
    <row r="66" spans="1:7">
      <c r="A66" s="1" t="s">
        <v>208</v>
      </c>
      <c r="B66" s="1" t="s">
        <v>219</v>
      </c>
      <c r="C66" s="1"/>
      <c r="D66" s="1" t="s">
        <v>210</v>
      </c>
      <c r="E66" s="8" t="s">
        <v>142</v>
      </c>
      <c r="F66" s="1"/>
      <c r="G66" s="1"/>
    </row>
    <row r="67" spans="1:7" ht="15">
      <c r="A67" s="5" t="s">
        <v>220</v>
      </c>
      <c r="B67" s="3"/>
      <c r="C67" s="3"/>
      <c r="D67" s="3"/>
      <c r="E67" s="3"/>
      <c r="F67" s="3"/>
      <c r="G67" s="3"/>
    </row>
    <row r="68" spans="1:7" ht="28.5">
      <c r="A68" s="1" t="s">
        <v>220</v>
      </c>
      <c r="B68" s="1" t="s">
        <v>221</v>
      </c>
      <c r="C68" s="1"/>
      <c r="D68" s="1" t="s">
        <v>222</v>
      </c>
      <c r="E68" s="7" t="s">
        <v>131</v>
      </c>
      <c r="F68" s="1"/>
      <c r="G68" s="1"/>
    </row>
    <row r="69" spans="1:7" ht="28.5">
      <c r="A69" s="1" t="s">
        <v>220</v>
      </c>
      <c r="B69" s="1" t="s">
        <v>223</v>
      </c>
      <c r="C69" s="1"/>
      <c r="D69" s="1" t="s">
        <v>222</v>
      </c>
      <c r="E69" s="7" t="s">
        <v>131</v>
      </c>
      <c r="F69" s="1"/>
      <c r="G69" s="1"/>
    </row>
    <row r="70" spans="1:7" ht="28.5">
      <c r="A70" s="1" t="s">
        <v>220</v>
      </c>
      <c r="B70" s="1" t="s">
        <v>224</v>
      </c>
      <c r="C70" s="1"/>
      <c r="D70" s="1" t="s">
        <v>222</v>
      </c>
      <c r="E70" s="7" t="s">
        <v>131</v>
      </c>
      <c r="F70" s="1"/>
      <c r="G70" s="1"/>
    </row>
    <row r="71" spans="1:7" ht="28.5">
      <c r="A71" s="1" t="s">
        <v>220</v>
      </c>
      <c r="B71" s="1" t="s">
        <v>225</v>
      </c>
      <c r="C71" s="1"/>
      <c r="D71" s="1" t="s">
        <v>222</v>
      </c>
      <c r="E71" s="7" t="s">
        <v>131</v>
      </c>
      <c r="F71" s="1"/>
      <c r="G71" s="1"/>
    </row>
    <row r="72" spans="1:7" ht="28.5">
      <c r="A72" s="1" t="s">
        <v>220</v>
      </c>
      <c r="B72" s="1" t="s">
        <v>226</v>
      </c>
      <c r="C72" s="1"/>
      <c r="D72" s="1" t="s">
        <v>222</v>
      </c>
      <c r="E72" s="8" t="s">
        <v>142</v>
      </c>
      <c r="F72" s="1"/>
      <c r="G72" s="1"/>
    </row>
    <row r="73" spans="1:7" ht="28.5">
      <c r="A73" s="1" t="s">
        <v>220</v>
      </c>
      <c r="B73" s="1" t="s">
        <v>227</v>
      </c>
      <c r="C73" s="1"/>
      <c r="D73" s="1" t="s">
        <v>222</v>
      </c>
      <c r="E73" s="7" t="s">
        <v>131</v>
      </c>
      <c r="F73" s="1"/>
      <c r="G73" s="1"/>
    </row>
    <row r="74" spans="1:7" ht="28.5">
      <c r="A74" s="1" t="s">
        <v>220</v>
      </c>
      <c r="B74" s="1" t="s">
        <v>228</v>
      </c>
      <c r="C74" s="1"/>
      <c r="D74" s="1" t="s">
        <v>222</v>
      </c>
      <c r="E74" s="8" t="s">
        <v>142</v>
      </c>
      <c r="F74" s="1"/>
      <c r="G74" s="1"/>
    </row>
    <row r="75" spans="1:7" ht="28.5">
      <c r="A75" s="1" t="s">
        <v>220</v>
      </c>
      <c r="B75" s="1" t="s">
        <v>229</v>
      </c>
      <c r="C75" s="1"/>
      <c r="D75" s="1" t="s">
        <v>222</v>
      </c>
      <c r="E75" s="7" t="s">
        <v>131</v>
      </c>
      <c r="F75" s="1"/>
      <c r="G75" s="1"/>
    </row>
    <row r="76" spans="1:7" ht="28.5">
      <c r="A76" s="1" t="s">
        <v>220</v>
      </c>
      <c r="B76" s="1" t="s">
        <v>230</v>
      </c>
      <c r="C76" s="1"/>
      <c r="D76" s="1" t="s">
        <v>222</v>
      </c>
      <c r="E76" s="7" t="s">
        <v>131</v>
      </c>
      <c r="F76" s="1"/>
      <c r="G76" s="1"/>
    </row>
    <row r="77" spans="1:7" ht="28.5">
      <c r="A77" s="1" t="s">
        <v>220</v>
      </c>
      <c r="B77" s="1" t="s">
        <v>231</v>
      </c>
      <c r="C77" s="1"/>
      <c r="D77" s="1" t="s">
        <v>222</v>
      </c>
      <c r="E77" s="7" t="s">
        <v>131</v>
      </c>
      <c r="F77" s="1"/>
      <c r="G77" s="1"/>
    </row>
    <row r="78" spans="1:7" ht="28.5">
      <c r="A78" s="1" t="s">
        <v>220</v>
      </c>
      <c r="B78" s="1" t="s">
        <v>232</v>
      </c>
      <c r="C78" s="1"/>
      <c r="D78" s="1" t="s">
        <v>222</v>
      </c>
      <c r="E78" s="7" t="s">
        <v>131</v>
      </c>
      <c r="F78" s="1"/>
      <c r="G78" s="1"/>
    </row>
    <row r="79" spans="1:7" ht="28.5">
      <c r="A79" s="1" t="s">
        <v>220</v>
      </c>
      <c r="B79" s="1" t="s">
        <v>233</v>
      </c>
      <c r="C79" s="1"/>
      <c r="D79" s="1" t="s">
        <v>222</v>
      </c>
      <c r="E79" s="7" t="s">
        <v>131</v>
      </c>
      <c r="F79" s="1"/>
      <c r="G79" s="1"/>
    </row>
    <row r="80" spans="1:7" ht="28.5">
      <c r="A80" s="1" t="s">
        <v>220</v>
      </c>
      <c r="B80" s="1" t="s">
        <v>234</v>
      </c>
      <c r="C80" s="1"/>
      <c r="D80" s="1" t="s">
        <v>222</v>
      </c>
      <c r="E80" s="7" t="s">
        <v>131</v>
      </c>
      <c r="F80" s="1"/>
      <c r="G80" s="1"/>
    </row>
    <row r="81" spans="1:7" ht="28.5">
      <c r="A81" s="1" t="s">
        <v>220</v>
      </c>
      <c r="B81" s="1" t="s">
        <v>235</v>
      </c>
      <c r="C81" s="1"/>
      <c r="D81" s="1" t="s">
        <v>222</v>
      </c>
      <c r="E81" s="7" t="s">
        <v>131</v>
      </c>
      <c r="F81" s="1"/>
      <c r="G81" s="1"/>
    </row>
    <row r="82" spans="1:7" ht="28.5">
      <c r="A82" s="1" t="s">
        <v>220</v>
      </c>
      <c r="B82" s="1" t="s">
        <v>236</v>
      </c>
      <c r="C82" s="1"/>
      <c r="D82" s="1" t="s">
        <v>222</v>
      </c>
      <c r="E82" s="8" t="s">
        <v>142</v>
      </c>
      <c r="F82" s="1"/>
      <c r="G82" s="1"/>
    </row>
    <row r="83" spans="1:7" ht="28.5">
      <c r="A83" s="1" t="s">
        <v>220</v>
      </c>
      <c r="B83" s="1" t="s">
        <v>237</v>
      </c>
      <c r="C83" s="1"/>
      <c r="D83" s="1" t="s">
        <v>222</v>
      </c>
      <c r="E83" s="8" t="s">
        <v>142</v>
      </c>
      <c r="F83" s="1"/>
      <c r="G83" s="1"/>
    </row>
    <row r="84" spans="1:7" ht="15">
      <c r="A84" s="5" t="s">
        <v>238</v>
      </c>
      <c r="B84" s="3"/>
      <c r="C84" s="3"/>
      <c r="D84" s="3"/>
      <c r="E84" s="3"/>
      <c r="F84" s="3"/>
      <c r="G84" s="3"/>
    </row>
    <row r="85" spans="1:7">
      <c r="A85" s="1" t="s">
        <v>238</v>
      </c>
      <c r="B85" s="1" t="s">
        <v>239</v>
      </c>
      <c r="C85" s="1"/>
      <c r="D85" s="1" t="s">
        <v>240</v>
      </c>
      <c r="E85" s="8" t="s">
        <v>142</v>
      </c>
      <c r="F85" s="1"/>
      <c r="G85" s="1"/>
    </row>
    <row r="86" spans="1:7" ht="15">
      <c r="A86" s="5" t="s">
        <v>241</v>
      </c>
      <c r="B86" s="3"/>
      <c r="C86" s="3"/>
      <c r="D86" s="3"/>
      <c r="E86" s="3"/>
      <c r="F86" s="3"/>
      <c r="G86" s="3"/>
    </row>
    <row r="87" spans="1:7" ht="15">
      <c r="A87" s="1" t="s">
        <v>241</v>
      </c>
      <c r="B87" s="1" t="s">
        <v>242</v>
      </c>
      <c r="C87" s="1"/>
      <c r="D87" s="1" t="s">
        <v>243</v>
      </c>
      <c r="E87" s="6" t="s">
        <v>128</v>
      </c>
      <c r="F87" s="1"/>
      <c r="G87" s="1"/>
    </row>
    <row r="88" spans="1:7">
      <c r="A88" s="1" t="s">
        <v>241</v>
      </c>
      <c r="B88" s="1" t="s">
        <v>244</v>
      </c>
      <c r="C88" s="1"/>
      <c r="D88" s="1" t="s">
        <v>243</v>
      </c>
      <c r="E88" s="7" t="s">
        <v>131</v>
      </c>
      <c r="F88" s="1"/>
      <c r="G88" s="1"/>
    </row>
    <row r="89" spans="1:7">
      <c r="A89" s="1" t="s">
        <v>241</v>
      </c>
      <c r="B89" s="1" t="s">
        <v>245</v>
      </c>
      <c r="C89" s="1"/>
      <c r="D89" s="1" t="s">
        <v>243</v>
      </c>
      <c r="E89" s="7" t="s">
        <v>131</v>
      </c>
      <c r="F89" s="1"/>
      <c r="G89" s="1"/>
    </row>
    <row r="90" spans="1:7">
      <c r="A90" s="1" t="s">
        <v>241</v>
      </c>
      <c r="B90" s="1" t="s">
        <v>246</v>
      </c>
      <c r="C90" s="1"/>
      <c r="D90" s="1" t="s">
        <v>243</v>
      </c>
      <c r="E90" s="7" t="s">
        <v>131</v>
      </c>
      <c r="F90" s="1"/>
      <c r="G90" s="1"/>
    </row>
    <row r="91" spans="1:7" ht="15">
      <c r="A91" s="1" t="s">
        <v>241</v>
      </c>
      <c r="B91" s="1" t="s">
        <v>247</v>
      </c>
      <c r="C91" s="1"/>
      <c r="D91" s="1" t="s">
        <v>243</v>
      </c>
      <c r="E91" s="6" t="s">
        <v>128</v>
      </c>
      <c r="F91" s="1"/>
      <c r="G91" s="1"/>
    </row>
    <row r="92" spans="1:7">
      <c r="A92" s="1" t="s">
        <v>241</v>
      </c>
      <c r="B92" s="1" t="s">
        <v>248</v>
      </c>
      <c r="C92" s="1"/>
      <c r="D92" s="1" t="s">
        <v>243</v>
      </c>
      <c r="E92" s="7" t="s">
        <v>131</v>
      </c>
      <c r="F92" s="1"/>
      <c r="G92" s="1"/>
    </row>
    <row r="93" spans="1:7">
      <c r="A93" s="11"/>
    </row>
    <row r="94" spans="1:7">
      <c r="A94" s="11"/>
    </row>
    <row r="95" spans="1:7">
      <c r="A95" s="11"/>
    </row>
    <row r="96" spans="1:7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</sheetData>
  <mergeCells count="1">
    <mergeCell ref="A1:F1"/>
  </mergeCells>
  <phoneticPr fontId="12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89"/>
  <sheetViews>
    <sheetView topLeftCell="A38" workbookViewId="0">
      <selection activeCell="G99" sqref="G99"/>
    </sheetView>
  </sheetViews>
  <sheetFormatPr defaultRowHeight="14.25"/>
  <cols>
    <col min="1" max="1" width="20" customWidth="1"/>
    <col min="2" max="2" width="34" customWidth="1"/>
    <col min="3" max="3" width="52" customWidth="1"/>
    <col min="4" max="4" width="20" customWidth="1"/>
    <col min="5" max="5" width="12" customWidth="1"/>
    <col min="6" max="6" width="34" customWidth="1"/>
    <col min="7" max="7" width="37.875" customWidth="1"/>
  </cols>
  <sheetData>
    <row r="1" spans="1:10" ht="20.25">
      <c r="A1" s="21" t="s">
        <v>121</v>
      </c>
      <c r="B1" s="22"/>
      <c r="C1" s="22"/>
      <c r="D1" s="22"/>
      <c r="E1" s="22"/>
      <c r="F1" s="22"/>
    </row>
    <row r="2" spans="1:10">
      <c r="A2" s="11"/>
    </row>
    <row r="3" spans="1:10" ht="15">
      <c r="A3" s="13" t="s">
        <v>122</v>
      </c>
      <c r="B3" s="4" t="s">
        <v>31</v>
      </c>
      <c r="C3" s="4" t="s">
        <v>123</v>
      </c>
      <c r="D3" s="4" t="s">
        <v>124</v>
      </c>
      <c r="E3" s="4" t="s">
        <v>58</v>
      </c>
      <c r="F3" s="4" t="s">
        <v>68</v>
      </c>
      <c r="G3" t="s">
        <v>125</v>
      </c>
      <c r="H3" t="s">
        <v>249</v>
      </c>
      <c r="I3" t="s">
        <v>250</v>
      </c>
      <c r="J3" t="s">
        <v>251</v>
      </c>
    </row>
    <row r="4" spans="1:10" ht="15">
      <c r="A4" s="5" t="s">
        <v>126</v>
      </c>
      <c r="B4" s="3"/>
      <c r="C4" s="3"/>
      <c r="D4" s="3"/>
      <c r="E4" s="3"/>
      <c r="F4" s="3"/>
      <c r="G4" t="s">
        <v>252</v>
      </c>
    </row>
    <row r="5" spans="1:10" ht="15">
      <c r="A5" s="1" t="s">
        <v>126</v>
      </c>
      <c r="B5" s="1" t="s">
        <v>13</v>
      </c>
      <c r="C5" s="1" t="s">
        <v>253</v>
      </c>
      <c r="D5" s="1" t="s">
        <v>127</v>
      </c>
      <c r="E5" s="6" t="s">
        <v>128</v>
      </c>
      <c r="F5" s="1"/>
      <c r="G5" s="15"/>
    </row>
    <row r="6" spans="1:10">
      <c r="A6" s="1" t="s">
        <v>126</v>
      </c>
      <c r="B6" s="1" t="s">
        <v>130</v>
      </c>
      <c r="C6" s="19" t="s">
        <v>254</v>
      </c>
      <c r="D6" s="1" t="s">
        <v>127</v>
      </c>
      <c r="E6" s="7" t="s">
        <v>131</v>
      </c>
      <c r="F6" s="1"/>
    </row>
    <row r="7" spans="1:10">
      <c r="A7" s="1" t="s">
        <v>126</v>
      </c>
      <c r="B7" s="1" t="s">
        <v>54</v>
      </c>
      <c r="C7" s="1" t="s">
        <v>255</v>
      </c>
      <c r="D7" s="1" t="s">
        <v>127</v>
      </c>
      <c r="E7" s="7" t="s">
        <v>131</v>
      </c>
      <c r="F7" s="1"/>
    </row>
    <row r="8" spans="1:10" ht="28.5">
      <c r="A8" s="1" t="s">
        <v>126</v>
      </c>
      <c r="B8" s="1" t="s">
        <v>256</v>
      </c>
      <c r="C8" s="1" t="s">
        <v>134</v>
      </c>
      <c r="D8" s="1" t="s">
        <v>127</v>
      </c>
      <c r="E8" s="7" t="s">
        <v>131</v>
      </c>
      <c r="F8" s="1" t="s">
        <v>257</v>
      </c>
    </row>
    <row r="9" spans="1:10" ht="15">
      <c r="A9" s="1" t="s">
        <v>126</v>
      </c>
      <c r="B9" s="1" t="s">
        <v>135</v>
      </c>
      <c r="C9" s="1" t="s">
        <v>258</v>
      </c>
      <c r="D9" s="1" t="s">
        <v>127</v>
      </c>
      <c r="E9" s="6" t="s">
        <v>128</v>
      </c>
      <c r="F9" s="1"/>
    </row>
    <row r="10" spans="1:10" ht="28.5">
      <c r="A10" s="1" t="s">
        <v>126</v>
      </c>
      <c r="B10" s="1" t="s">
        <v>137</v>
      </c>
      <c r="C10" s="1" t="s">
        <v>259</v>
      </c>
      <c r="D10" s="1" t="s">
        <v>127</v>
      </c>
      <c r="E10" s="6" t="s">
        <v>128</v>
      </c>
      <c r="F10" s="1"/>
      <c r="G10" t="s">
        <v>260</v>
      </c>
    </row>
    <row r="11" spans="1:10" ht="30">
      <c r="A11" s="5" t="s">
        <v>261</v>
      </c>
      <c r="B11" s="3"/>
      <c r="C11" s="3"/>
      <c r="D11" s="3"/>
      <c r="E11" s="3"/>
      <c r="F11" s="3"/>
    </row>
    <row r="12" spans="1:10" ht="28.5">
      <c r="A12" s="1" t="s">
        <v>261</v>
      </c>
      <c r="B12" s="1" t="s">
        <v>15</v>
      </c>
      <c r="C12" s="1" t="s">
        <v>262</v>
      </c>
      <c r="D12" s="1" t="s">
        <v>141</v>
      </c>
      <c r="E12" s="6" t="s">
        <v>128</v>
      </c>
      <c r="F12" s="1"/>
    </row>
    <row r="13" spans="1:10" ht="28.5">
      <c r="A13" s="1" t="s">
        <v>261</v>
      </c>
      <c r="B13" s="1" t="s">
        <v>60</v>
      </c>
      <c r="C13" s="1" t="s">
        <v>263</v>
      </c>
      <c r="D13" s="1" t="s">
        <v>141</v>
      </c>
      <c r="E13" s="8" t="s">
        <v>142</v>
      </c>
      <c r="F13" s="1" t="s">
        <v>264</v>
      </c>
    </row>
    <row r="14" spans="1:10" ht="28.5">
      <c r="A14" s="1" t="s">
        <v>261</v>
      </c>
      <c r="B14" s="1" t="s">
        <v>143</v>
      </c>
      <c r="C14" s="1" t="s">
        <v>265</v>
      </c>
      <c r="D14" s="1" t="s">
        <v>141</v>
      </c>
      <c r="E14" s="6" t="s">
        <v>128</v>
      </c>
      <c r="F14" s="1" t="s">
        <v>266</v>
      </c>
    </row>
    <row r="15" spans="1:10" ht="15">
      <c r="A15" s="5" t="s">
        <v>144</v>
      </c>
      <c r="B15" s="3"/>
      <c r="C15" s="3"/>
      <c r="D15" s="3"/>
      <c r="E15" s="3"/>
      <c r="F15" s="3"/>
    </row>
    <row r="16" spans="1:10" ht="15">
      <c r="A16" s="1" t="s">
        <v>144</v>
      </c>
      <c r="B16" s="1" t="s">
        <v>145</v>
      </c>
      <c r="C16" s="19" t="s">
        <v>267</v>
      </c>
      <c r="D16" s="1" t="s">
        <v>147</v>
      </c>
      <c r="E16" s="6" t="s">
        <v>128</v>
      </c>
      <c r="F16" s="1"/>
    </row>
    <row r="17" spans="1:6">
      <c r="A17" s="1" t="s">
        <v>144</v>
      </c>
      <c r="B17" s="1" t="s">
        <v>148</v>
      </c>
      <c r="C17" s="1" t="s">
        <v>268</v>
      </c>
      <c r="D17" s="1" t="s">
        <v>147</v>
      </c>
      <c r="E17" s="8" t="s">
        <v>142</v>
      </c>
      <c r="F17" s="1" t="s">
        <v>269</v>
      </c>
    </row>
    <row r="18" spans="1:6">
      <c r="A18" s="1" t="s">
        <v>144</v>
      </c>
      <c r="B18" s="1" t="s">
        <v>149</v>
      </c>
      <c r="C18" s="1" t="s">
        <v>270</v>
      </c>
      <c r="D18" s="1" t="s">
        <v>147</v>
      </c>
      <c r="E18" s="8" t="s">
        <v>142</v>
      </c>
      <c r="F18" s="1"/>
    </row>
    <row r="19" spans="1:6">
      <c r="A19" s="1" t="s">
        <v>144</v>
      </c>
      <c r="B19" s="1" t="s">
        <v>151</v>
      </c>
      <c r="C19" s="1" t="s">
        <v>271</v>
      </c>
      <c r="D19" s="1" t="s">
        <v>147</v>
      </c>
      <c r="E19" s="8" t="s">
        <v>142</v>
      </c>
      <c r="F19" s="1"/>
    </row>
    <row r="20" spans="1:6">
      <c r="A20" s="1" t="s">
        <v>144</v>
      </c>
      <c r="B20" s="1" t="s">
        <v>152</v>
      </c>
      <c r="C20" s="19" t="s">
        <v>272</v>
      </c>
      <c r="D20" s="1" t="s">
        <v>147</v>
      </c>
      <c r="E20" s="8" t="s">
        <v>142</v>
      </c>
      <c r="F20" s="1"/>
    </row>
    <row r="21" spans="1:6">
      <c r="A21" s="1" t="s">
        <v>144</v>
      </c>
      <c r="B21" s="1" t="s">
        <v>154</v>
      </c>
      <c r="C21" s="1" t="s">
        <v>273</v>
      </c>
      <c r="D21" s="1" t="s">
        <v>147</v>
      </c>
      <c r="E21" s="8" t="s">
        <v>142</v>
      </c>
      <c r="F21" s="1"/>
    </row>
    <row r="22" spans="1:6" ht="15">
      <c r="A22" s="1" t="s">
        <v>144</v>
      </c>
      <c r="B22" s="1" t="s">
        <v>156</v>
      </c>
      <c r="C22" s="1" t="s">
        <v>274</v>
      </c>
      <c r="D22" s="1" t="s">
        <v>147</v>
      </c>
      <c r="E22" s="6" t="s">
        <v>128</v>
      </c>
      <c r="F22" s="1"/>
    </row>
    <row r="23" spans="1:6">
      <c r="A23" s="1" t="s">
        <v>144</v>
      </c>
      <c r="B23" s="1" t="s">
        <v>158</v>
      </c>
      <c r="C23" s="1" t="s">
        <v>275</v>
      </c>
      <c r="D23" s="1" t="s">
        <v>147</v>
      </c>
      <c r="E23" s="8" t="s">
        <v>142</v>
      </c>
      <c r="F23" s="1" t="s">
        <v>276</v>
      </c>
    </row>
    <row r="24" spans="1:6">
      <c r="A24" s="1" t="s">
        <v>144</v>
      </c>
      <c r="B24" s="1" t="s">
        <v>160</v>
      </c>
      <c r="C24" s="1" t="s">
        <v>277</v>
      </c>
      <c r="D24" s="1" t="s">
        <v>147</v>
      </c>
      <c r="E24" s="8" t="s">
        <v>142</v>
      </c>
      <c r="F24" s="1" t="s">
        <v>278</v>
      </c>
    </row>
    <row r="25" spans="1:6">
      <c r="A25" s="1" t="s">
        <v>144</v>
      </c>
      <c r="B25" s="1" t="s">
        <v>162</v>
      </c>
      <c r="C25" s="1" t="s">
        <v>277</v>
      </c>
      <c r="D25" s="1" t="s">
        <v>147</v>
      </c>
      <c r="E25" s="8" t="s">
        <v>142</v>
      </c>
      <c r="F25" s="1" t="s">
        <v>279</v>
      </c>
    </row>
    <row r="26" spans="1:6">
      <c r="A26" s="1" t="s">
        <v>144</v>
      </c>
      <c r="B26" s="1" t="s">
        <v>164</v>
      </c>
      <c r="C26" s="1" t="s">
        <v>280</v>
      </c>
      <c r="D26" s="1" t="s">
        <v>147</v>
      </c>
      <c r="E26" s="8" t="s">
        <v>142</v>
      </c>
      <c r="F26" s="1"/>
    </row>
    <row r="27" spans="1:6">
      <c r="A27" s="1" t="s">
        <v>144</v>
      </c>
      <c r="B27" s="1" t="s">
        <v>165</v>
      </c>
      <c r="C27" s="1" t="s">
        <v>281</v>
      </c>
      <c r="D27" s="1" t="s">
        <v>147</v>
      </c>
      <c r="E27" s="8" t="s">
        <v>142</v>
      </c>
      <c r="F27" s="1"/>
    </row>
    <row r="28" spans="1:6">
      <c r="A28" s="1" t="s">
        <v>144</v>
      </c>
      <c r="B28" s="1" t="s">
        <v>166</v>
      </c>
      <c r="C28" s="1" t="s">
        <v>282</v>
      </c>
      <c r="D28" s="1" t="s">
        <v>147</v>
      </c>
      <c r="E28" s="8" t="s">
        <v>142</v>
      </c>
      <c r="F28" s="1" t="s">
        <v>283</v>
      </c>
    </row>
    <row r="29" spans="1:6" ht="15">
      <c r="A29" s="1" t="s">
        <v>144</v>
      </c>
      <c r="B29" s="1" t="s">
        <v>167</v>
      </c>
      <c r="C29" s="1" t="s">
        <v>284</v>
      </c>
      <c r="D29" s="1" t="s">
        <v>147</v>
      </c>
      <c r="E29" s="6" t="s">
        <v>128</v>
      </c>
      <c r="F29" s="1" t="s">
        <v>285</v>
      </c>
    </row>
    <row r="30" spans="1:6" ht="15">
      <c r="A30" s="5" t="s">
        <v>168</v>
      </c>
      <c r="B30" s="3"/>
      <c r="C30" s="3"/>
      <c r="D30" s="3"/>
      <c r="E30" s="3"/>
      <c r="F30" s="3"/>
    </row>
    <row r="31" spans="1:6" ht="15">
      <c r="A31" s="1" t="s">
        <v>168</v>
      </c>
      <c r="B31" s="1" t="s">
        <v>169</v>
      </c>
      <c r="C31" s="1" t="s">
        <v>286</v>
      </c>
      <c r="D31" s="1" t="s">
        <v>171</v>
      </c>
      <c r="E31" s="6" t="s">
        <v>128</v>
      </c>
      <c r="F31" s="1" t="s">
        <v>287</v>
      </c>
    </row>
    <row r="32" spans="1:6" ht="15">
      <c r="A32" s="1" t="s">
        <v>168</v>
      </c>
      <c r="B32" s="1" t="s">
        <v>172</v>
      </c>
      <c r="C32" s="1" t="s">
        <v>288</v>
      </c>
      <c r="D32" s="1" t="s">
        <v>171</v>
      </c>
      <c r="E32" s="6" t="s">
        <v>128</v>
      </c>
      <c r="F32" s="1"/>
    </row>
    <row r="33" spans="1:6">
      <c r="A33" s="1" t="s">
        <v>168</v>
      </c>
      <c r="B33" s="1" t="s">
        <v>174</v>
      </c>
      <c r="C33" s="1" t="s">
        <v>289</v>
      </c>
      <c r="D33" s="1" t="s">
        <v>171</v>
      </c>
      <c r="E33" s="8" t="s">
        <v>142</v>
      </c>
      <c r="F33" s="1"/>
    </row>
    <row r="34" spans="1:6">
      <c r="A34" s="1" t="s">
        <v>168</v>
      </c>
      <c r="B34" s="1" t="s">
        <v>176</v>
      </c>
      <c r="C34" s="1" t="s">
        <v>290</v>
      </c>
      <c r="D34" s="1" t="s">
        <v>171</v>
      </c>
      <c r="E34" s="8" t="s">
        <v>142</v>
      </c>
      <c r="F34" s="1"/>
    </row>
    <row r="35" spans="1:6">
      <c r="A35" s="1" t="s">
        <v>168</v>
      </c>
      <c r="B35" s="1" t="s">
        <v>179</v>
      </c>
      <c r="C35" s="1" t="s">
        <v>291</v>
      </c>
      <c r="D35" s="1" t="s">
        <v>171</v>
      </c>
      <c r="E35" s="8" t="s">
        <v>142</v>
      </c>
      <c r="F35" s="1"/>
    </row>
    <row r="36" spans="1:6">
      <c r="A36" s="1" t="s">
        <v>168</v>
      </c>
      <c r="B36" s="1" t="s">
        <v>180</v>
      </c>
      <c r="C36" s="1" t="s">
        <v>292</v>
      </c>
      <c r="D36" s="1" t="s">
        <v>171</v>
      </c>
      <c r="E36" s="8" t="s">
        <v>142</v>
      </c>
      <c r="F36" s="1"/>
    </row>
    <row r="37" spans="1:6">
      <c r="A37" s="1" t="s">
        <v>168</v>
      </c>
      <c r="B37" s="1" t="s">
        <v>182</v>
      </c>
      <c r="C37" s="1" t="s">
        <v>293</v>
      </c>
      <c r="D37" s="1" t="s">
        <v>171</v>
      </c>
      <c r="E37" s="8" t="s">
        <v>142</v>
      </c>
      <c r="F37" s="1"/>
    </row>
    <row r="38" spans="1:6">
      <c r="A38" s="1" t="s">
        <v>168</v>
      </c>
      <c r="B38" s="1" t="s">
        <v>184</v>
      </c>
      <c r="C38" s="1" t="s">
        <v>294</v>
      </c>
      <c r="D38" s="1" t="s">
        <v>171</v>
      </c>
      <c r="E38" s="8" t="s">
        <v>142</v>
      </c>
      <c r="F38" s="1"/>
    </row>
    <row r="39" spans="1:6">
      <c r="A39" s="1" t="s">
        <v>168</v>
      </c>
      <c r="B39" s="1" t="s">
        <v>186</v>
      </c>
      <c r="C39" s="1" t="s">
        <v>295</v>
      </c>
      <c r="D39" s="1" t="s">
        <v>171</v>
      </c>
      <c r="E39" s="8" t="s">
        <v>142</v>
      </c>
      <c r="F39" s="1"/>
    </row>
    <row r="40" spans="1:6">
      <c r="A40" s="1" t="s">
        <v>168</v>
      </c>
      <c r="B40" s="1" t="s">
        <v>188</v>
      </c>
      <c r="C40" s="1" t="s">
        <v>296</v>
      </c>
      <c r="D40" s="1" t="s">
        <v>171</v>
      </c>
      <c r="E40" s="8" t="s">
        <v>142</v>
      </c>
      <c r="F40" s="1" t="s">
        <v>297</v>
      </c>
    </row>
    <row r="41" spans="1:6" ht="28.5">
      <c r="A41" s="1" t="s">
        <v>168</v>
      </c>
      <c r="B41" s="1" t="s">
        <v>190</v>
      </c>
      <c r="C41" s="1" t="s">
        <v>298</v>
      </c>
      <c r="D41" s="1" t="s">
        <v>171</v>
      </c>
      <c r="E41" s="8" t="s">
        <v>142</v>
      </c>
      <c r="F41" s="1"/>
    </row>
    <row r="42" spans="1:6">
      <c r="A42" s="1" t="s">
        <v>168</v>
      </c>
      <c r="B42" s="1" t="s">
        <v>191</v>
      </c>
      <c r="C42" s="1" t="s">
        <v>299</v>
      </c>
      <c r="D42" s="1" t="s">
        <v>171</v>
      </c>
      <c r="E42" s="8" t="s">
        <v>142</v>
      </c>
      <c r="F42" s="1"/>
    </row>
    <row r="43" spans="1:6" ht="28.5">
      <c r="A43" s="1" t="s">
        <v>168</v>
      </c>
      <c r="B43" s="1" t="s">
        <v>192</v>
      </c>
      <c r="C43" s="17" t="s">
        <v>300</v>
      </c>
      <c r="D43" s="1" t="s">
        <v>171</v>
      </c>
      <c r="E43" s="6" t="s">
        <v>128</v>
      </c>
      <c r="F43" s="1" t="s">
        <v>301</v>
      </c>
    </row>
    <row r="44" spans="1:6" ht="28.5">
      <c r="A44" s="1" t="s">
        <v>168</v>
      </c>
      <c r="B44" s="1" t="s">
        <v>193</v>
      </c>
      <c r="C44" s="17" t="s">
        <v>302</v>
      </c>
      <c r="D44" s="1" t="s">
        <v>171</v>
      </c>
      <c r="E44" s="8" t="s">
        <v>142</v>
      </c>
      <c r="F44" s="1"/>
    </row>
    <row r="45" spans="1:6" ht="15">
      <c r="A45" s="5" t="s">
        <v>194</v>
      </c>
      <c r="B45" s="3"/>
      <c r="C45" s="3"/>
      <c r="D45" s="3"/>
      <c r="E45" s="3"/>
      <c r="F45" s="3"/>
    </row>
    <row r="46" spans="1:6" ht="15">
      <c r="A46" s="1" t="s">
        <v>194</v>
      </c>
      <c r="B46" s="1" t="s">
        <v>195</v>
      </c>
      <c r="C46" s="1" t="s">
        <v>303</v>
      </c>
      <c r="D46" s="1" t="s">
        <v>197</v>
      </c>
      <c r="E46" s="6" t="s">
        <v>128</v>
      </c>
      <c r="F46" s="1"/>
    </row>
    <row r="47" spans="1:6">
      <c r="A47" s="1" t="s">
        <v>194</v>
      </c>
      <c r="B47" s="1" t="s">
        <v>198</v>
      </c>
      <c r="C47" s="1" t="s">
        <v>304</v>
      </c>
      <c r="D47" s="1" t="s">
        <v>197</v>
      </c>
      <c r="E47" s="8" t="s">
        <v>142</v>
      </c>
      <c r="F47" s="1"/>
    </row>
    <row r="48" spans="1:6" ht="15">
      <c r="A48" s="1" t="s">
        <v>194</v>
      </c>
      <c r="B48" s="1" t="s">
        <v>305</v>
      </c>
      <c r="C48" s="1" t="s">
        <v>306</v>
      </c>
      <c r="D48" s="1" t="s">
        <v>197</v>
      </c>
      <c r="E48" s="6" t="s">
        <v>128</v>
      </c>
      <c r="F48" s="1"/>
    </row>
    <row r="49" spans="1:6" ht="28.5">
      <c r="A49" s="1" t="s">
        <v>194</v>
      </c>
      <c r="B49" s="1" t="s">
        <v>200</v>
      </c>
      <c r="C49" s="1" t="s">
        <v>307</v>
      </c>
      <c r="D49" s="1" t="s">
        <v>197</v>
      </c>
      <c r="E49" s="6" t="s">
        <v>128</v>
      </c>
      <c r="F49" s="1"/>
    </row>
    <row r="50" spans="1:6">
      <c r="A50" s="1" t="s">
        <v>194</v>
      </c>
      <c r="B50" s="1" t="s">
        <v>201</v>
      </c>
      <c r="C50" s="1" t="s">
        <v>275</v>
      </c>
      <c r="D50" s="1" t="s">
        <v>197</v>
      </c>
      <c r="E50" s="8" t="s">
        <v>142</v>
      </c>
      <c r="F50" s="1"/>
    </row>
    <row r="51" spans="1:6">
      <c r="A51" s="1" t="s">
        <v>194</v>
      </c>
      <c r="B51" s="1" t="s">
        <v>202</v>
      </c>
      <c r="C51" s="18" t="s">
        <v>275</v>
      </c>
      <c r="D51" s="1" t="s">
        <v>197</v>
      </c>
      <c r="E51" s="8" t="s">
        <v>142</v>
      </c>
      <c r="F51" s="1"/>
    </row>
    <row r="52" spans="1:6">
      <c r="A52" s="1" t="s">
        <v>194</v>
      </c>
      <c r="B52" s="1" t="s">
        <v>203</v>
      </c>
      <c r="C52" s="1" t="s">
        <v>308</v>
      </c>
      <c r="D52" s="1" t="s">
        <v>197</v>
      </c>
      <c r="E52" s="8" t="s">
        <v>142</v>
      </c>
      <c r="F52" s="1"/>
    </row>
    <row r="53" spans="1:6">
      <c r="A53" s="1" t="s">
        <v>194</v>
      </c>
      <c r="B53" s="1" t="s">
        <v>204</v>
      </c>
      <c r="C53" s="1" t="s">
        <v>309</v>
      </c>
      <c r="D53" s="1" t="s">
        <v>197</v>
      </c>
      <c r="E53" s="8" t="s">
        <v>142</v>
      </c>
      <c r="F53" s="1"/>
    </row>
    <row r="54" spans="1:6">
      <c r="A54" s="1" t="s">
        <v>194</v>
      </c>
      <c r="B54" s="1" t="s">
        <v>205</v>
      </c>
      <c r="C54" s="1" t="s">
        <v>310</v>
      </c>
      <c r="D54" s="1" t="s">
        <v>197</v>
      </c>
      <c r="E54" s="8" t="s">
        <v>142</v>
      </c>
      <c r="F54" s="1"/>
    </row>
    <row r="55" spans="1:6">
      <c r="A55" s="1" t="s">
        <v>194</v>
      </c>
      <c r="B55" s="1" t="s">
        <v>206</v>
      </c>
      <c r="C55" s="1" t="s">
        <v>311</v>
      </c>
      <c r="D55" s="1" t="s">
        <v>197</v>
      </c>
      <c r="E55" s="8" t="s">
        <v>142</v>
      </c>
      <c r="F55" s="1"/>
    </row>
    <row r="56" spans="1:6" ht="15">
      <c r="A56" s="5" t="s">
        <v>208</v>
      </c>
      <c r="B56" s="3"/>
      <c r="C56" s="3"/>
      <c r="D56" s="3"/>
      <c r="E56" s="3"/>
      <c r="F56" s="3"/>
    </row>
    <row r="57" spans="1:6" ht="15">
      <c r="A57" s="1" t="s">
        <v>208</v>
      </c>
      <c r="B57" s="1" t="s">
        <v>209</v>
      </c>
      <c r="C57" s="1" t="s">
        <v>312</v>
      </c>
      <c r="D57" s="1" t="s">
        <v>210</v>
      </c>
      <c r="E57" s="6" t="s">
        <v>128</v>
      </c>
      <c r="F57" s="1" t="s">
        <v>313</v>
      </c>
    </row>
    <row r="58" spans="1:6">
      <c r="A58" s="1" t="s">
        <v>208</v>
      </c>
      <c r="B58" s="1" t="s">
        <v>211</v>
      </c>
      <c r="C58" s="1" t="s">
        <v>314</v>
      </c>
      <c r="D58" s="1" t="s">
        <v>210</v>
      </c>
      <c r="E58" s="8" t="s">
        <v>142</v>
      </c>
      <c r="F58" s="1" t="s">
        <v>315</v>
      </c>
    </row>
    <row r="59" spans="1:6" ht="28.5">
      <c r="A59" s="1" t="s">
        <v>208</v>
      </c>
      <c r="B59" s="1" t="s">
        <v>212</v>
      </c>
      <c r="C59" s="1" t="s">
        <v>316</v>
      </c>
      <c r="D59" s="1" t="s">
        <v>210</v>
      </c>
      <c r="E59" s="8" t="s">
        <v>142</v>
      </c>
      <c r="F59" s="1" t="s">
        <v>317</v>
      </c>
    </row>
    <row r="60" spans="1:6" ht="28.5">
      <c r="A60" s="1" t="s">
        <v>208</v>
      </c>
      <c r="B60" s="1" t="s">
        <v>213</v>
      </c>
      <c r="C60" s="1" t="s">
        <v>318</v>
      </c>
      <c r="D60" s="1" t="s">
        <v>210</v>
      </c>
      <c r="E60" s="8" t="s">
        <v>142</v>
      </c>
      <c r="F60" s="1" t="s">
        <v>319</v>
      </c>
    </row>
    <row r="61" spans="1:6" ht="15">
      <c r="A61" s="1" t="s">
        <v>208</v>
      </c>
      <c r="B61" s="1" t="s">
        <v>214</v>
      </c>
      <c r="C61" s="1" t="s">
        <v>320</v>
      </c>
      <c r="D61" s="1" t="s">
        <v>210</v>
      </c>
      <c r="E61" s="6" t="s">
        <v>128</v>
      </c>
      <c r="F61" s="1"/>
    </row>
    <row r="62" spans="1:6" ht="15">
      <c r="A62" s="1" t="s">
        <v>208</v>
      </c>
      <c r="B62" s="1" t="s">
        <v>215</v>
      </c>
      <c r="C62" s="1" t="s">
        <v>321</v>
      </c>
      <c r="D62" s="1" t="s">
        <v>210</v>
      </c>
      <c r="E62" s="6" t="s">
        <v>128</v>
      </c>
      <c r="F62" s="1" t="s">
        <v>322</v>
      </c>
    </row>
    <row r="63" spans="1:6">
      <c r="A63" s="1" t="s">
        <v>208</v>
      </c>
      <c r="B63" s="1" t="s">
        <v>216</v>
      </c>
      <c r="C63" s="1" t="s">
        <v>323</v>
      </c>
      <c r="D63" s="1" t="s">
        <v>210</v>
      </c>
      <c r="E63" s="8" t="s">
        <v>142</v>
      </c>
      <c r="F63" s="1" t="s">
        <v>324</v>
      </c>
    </row>
    <row r="64" spans="1:6">
      <c r="A64" s="1" t="s">
        <v>208</v>
      </c>
      <c r="B64" s="1" t="s">
        <v>217</v>
      </c>
      <c r="C64" s="1" t="s">
        <v>325</v>
      </c>
      <c r="D64" s="1" t="s">
        <v>210</v>
      </c>
      <c r="E64" s="8" t="s">
        <v>142</v>
      </c>
      <c r="F64" s="1" t="s">
        <v>325</v>
      </c>
    </row>
    <row r="65" spans="1:6" ht="15">
      <c r="A65" s="1" t="s">
        <v>208</v>
      </c>
      <c r="B65" s="1" t="s">
        <v>218</v>
      </c>
      <c r="C65" s="1" t="s">
        <v>326</v>
      </c>
      <c r="D65" s="1" t="s">
        <v>210</v>
      </c>
      <c r="E65" s="6" t="s">
        <v>128</v>
      </c>
      <c r="F65" s="1" t="s">
        <v>327</v>
      </c>
    </row>
    <row r="66" spans="1:6">
      <c r="A66" s="1" t="s">
        <v>208</v>
      </c>
      <c r="B66" s="1" t="s">
        <v>219</v>
      </c>
      <c r="C66" s="1" t="s">
        <v>328</v>
      </c>
      <c r="D66" s="1" t="s">
        <v>210</v>
      </c>
      <c r="E66" s="8" t="s">
        <v>142</v>
      </c>
      <c r="F66" s="1"/>
    </row>
    <row r="67" spans="1:6" ht="15">
      <c r="A67" s="5" t="s">
        <v>220</v>
      </c>
      <c r="B67" s="3"/>
      <c r="C67" s="3"/>
      <c r="D67" s="3"/>
      <c r="E67" s="3"/>
      <c r="F67" s="3"/>
    </row>
    <row r="68" spans="1:6" ht="28.5">
      <c r="A68" s="1" t="s">
        <v>220</v>
      </c>
      <c r="B68" s="1" t="s">
        <v>221</v>
      </c>
      <c r="C68" s="1" t="s">
        <v>329</v>
      </c>
      <c r="D68" s="1" t="s">
        <v>222</v>
      </c>
      <c r="E68" s="7" t="s">
        <v>131</v>
      </c>
      <c r="F68" s="1"/>
    </row>
    <row r="69" spans="1:6" ht="28.5">
      <c r="A69" s="1" t="s">
        <v>220</v>
      </c>
      <c r="B69" s="1" t="s">
        <v>223</v>
      </c>
      <c r="C69" s="1" t="s">
        <v>330</v>
      </c>
      <c r="D69" s="1" t="s">
        <v>222</v>
      </c>
      <c r="E69" s="7" t="s">
        <v>131</v>
      </c>
      <c r="F69" s="1"/>
    </row>
    <row r="70" spans="1:6" ht="28.5">
      <c r="A70" s="1" t="s">
        <v>220</v>
      </c>
      <c r="B70" s="1" t="s">
        <v>224</v>
      </c>
      <c r="C70" s="1" t="s">
        <v>331</v>
      </c>
      <c r="D70" s="1" t="s">
        <v>222</v>
      </c>
      <c r="E70" s="7" t="s">
        <v>131</v>
      </c>
      <c r="F70" s="1"/>
    </row>
    <row r="71" spans="1:6" ht="28.5">
      <c r="A71" s="1" t="s">
        <v>220</v>
      </c>
      <c r="B71" s="1" t="s">
        <v>225</v>
      </c>
      <c r="C71" s="1" t="s">
        <v>332</v>
      </c>
      <c r="D71" s="1" t="s">
        <v>222</v>
      </c>
      <c r="E71" s="7" t="s">
        <v>131</v>
      </c>
      <c r="F71" s="1"/>
    </row>
    <row r="72" spans="1:6" ht="28.5">
      <c r="A72" s="1" t="s">
        <v>220</v>
      </c>
      <c r="B72" s="1" t="s">
        <v>226</v>
      </c>
      <c r="C72" s="1" t="s">
        <v>333</v>
      </c>
      <c r="D72" s="1" t="s">
        <v>222</v>
      </c>
      <c r="E72" s="8" t="s">
        <v>142</v>
      </c>
      <c r="F72" s="17" t="s">
        <v>334</v>
      </c>
    </row>
    <row r="73" spans="1:6" ht="28.5">
      <c r="A73" s="1" t="s">
        <v>220</v>
      </c>
      <c r="B73" s="1" t="s">
        <v>227</v>
      </c>
      <c r="C73" s="1" t="s">
        <v>335</v>
      </c>
      <c r="D73" s="1" t="s">
        <v>222</v>
      </c>
      <c r="E73" s="7" t="s">
        <v>131</v>
      </c>
      <c r="F73" s="1"/>
    </row>
    <row r="74" spans="1:6" ht="28.5">
      <c r="A74" s="1" t="s">
        <v>220</v>
      </c>
      <c r="B74" s="1" t="s">
        <v>228</v>
      </c>
      <c r="C74" s="17" t="s">
        <v>336</v>
      </c>
      <c r="D74" s="1" t="s">
        <v>222</v>
      </c>
      <c r="E74" s="8" t="s">
        <v>142</v>
      </c>
      <c r="F74" s="1" t="s">
        <v>337</v>
      </c>
    </row>
    <row r="75" spans="1:6" ht="28.5">
      <c r="A75" s="1" t="s">
        <v>220</v>
      </c>
      <c r="B75" s="1" t="s">
        <v>229</v>
      </c>
      <c r="C75" s="1" t="s">
        <v>338</v>
      </c>
      <c r="D75" s="1" t="s">
        <v>222</v>
      </c>
      <c r="E75" s="7" t="s">
        <v>131</v>
      </c>
      <c r="F75" s="1"/>
    </row>
    <row r="76" spans="1:6" ht="28.5">
      <c r="A76" s="1" t="s">
        <v>220</v>
      </c>
      <c r="B76" s="1" t="s">
        <v>230</v>
      </c>
      <c r="C76" s="1" t="s">
        <v>339</v>
      </c>
      <c r="D76" s="1" t="s">
        <v>222</v>
      </c>
      <c r="E76" s="7" t="s">
        <v>131</v>
      </c>
      <c r="F76" s="1"/>
    </row>
    <row r="77" spans="1:6" ht="28.5">
      <c r="A77" s="1" t="s">
        <v>220</v>
      </c>
      <c r="B77" s="1" t="s">
        <v>231</v>
      </c>
      <c r="C77" s="1" t="s">
        <v>340</v>
      </c>
      <c r="D77" s="1" t="s">
        <v>222</v>
      </c>
      <c r="E77" s="7" t="s">
        <v>131</v>
      </c>
      <c r="F77" s="1"/>
    </row>
    <row r="78" spans="1:6" ht="28.5">
      <c r="A78" s="1" t="s">
        <v>220</v>
      </c>
      <c r="B78" s="1" t="s">
        <v>232</v>
      </c>
      <c r="C78" s="1" t="s">
        <v>341</v>
      </c>
      <c r="D78" s="1" t="s">
        <v>222</v>
      </c>
      <c r="E78" s="7" t="s">
        <v>131</v>
      </c>
      <c r="F78" s="1"/>
    </row>
    <row r="79" spans="1:6" ht="28.5">
      <c r="A79" s="1" t="s">
        <v>220</v>
      </c>
      <c r="B79" s="1" t="s">
        <v>233</v>
      </c>
      <c r="C79" s="1" t="s">
        <v>342</v>
      </c>
      <c r="D79" s="1" t="s">
        <v>222</v>
      </c>
      <c r="E79" s="7" t="s">
        <v>131</v>
      </c>
      <c r="F79" s="1"/>
    </row>
    <row r="80" spans="1:6" ht="28.5">
      <c r="A80" s="1" t="s">
        <v>220</v>
      </c>
      <c r="B80" s="1" t="s">
        <v>234</v>
      </c>
      <c r="C80" s="1" t="s">
        <v>343</v>
      </c>
      <c r="D80" s="1" t="s">
        <v>222</v>
      </c>
      <c r="E80" s="7" t="s">
        <v>131</v>
      </c>
      <c r="F80" s="1" t="s">
        <v>344</v>
      </c>
    </row>
    <row r="81" spans="1:7" ht="28.5">
      <c r="A81" s="1" t="s">
        <v>220</v>
      </c>
      <c r="B81" s="1" t="s">
        <v>235</v>
      </c>
      <c r="C81" s="1" t="s">
        <v>345</v>
      </c>
      <c r="D81" s="1" t="s">
        <v>222</v>
      </c>
      <c r="E81" s="7" t="s">
        <v>131</v>
      </c>
      <c r="F81" s="1"/>
    </row>
    <row r="82" spans="1:7" ht="28.5">
      <c r="A82" s="1" t="s">
        <v>220</v>
      </c>
      <c r="B82" s="1" t="s">
        <v>236</v>
      </c>
      <c r="C82" s="1" t="s">
        <v>346</v>
      </c>
      <c r="D82" s="1" t="s">
        <v>222</v>
      </c>
      <c r="E82" s="8" t="s">
        <v>142</v>
      </c>
      <c r="F82" s="1"/>
    </row>
    <row r="83" spans="1:7" ht="28.5">
      <c r="A83" s="1" t="s">
        <v>220</v>
      </c>
      <c r="B83" s="1" t="s">
        <v>237</v>
      </c>
      <c r="C83" s="1" t="s">
        <v>347</v>
      </c>
      <c r="D83" s="1" t="s">
        <v>222</v>
      </c>
      <c r="E83" s="8" t="s">
        <v>142</v>
      </c>
      <c r="F83" s="1"/>
    </row>
    <row r="84" spans="1:7" ht="15">
      <c r="A84" s="5" t="s">
        <v>238</v>
      </c>
      <c r="B84" s="3"/>
      <c r="C84" s="3"/>
      <c r="D84" s="3"/>
      <c r="E84" s="3"/>
      <c r="F84" s="3"/>
    </row>
    <row r="85" spans="1:7">
      <c r="A85" s="1" t="s">
        <v>238</v>
      </c>
      <c r="B85" s="1" t="s">
        <v>239</v>
      </c>
      <c r="C85" s="1" t="s">
        <v>348</v>
      </c>
      <c r="D85" s="1" t="s">
        <v>240</v>
      </c>
      <c r="E85" s="8" t="s">
        <v>142</v>
      </c>
      <c r="F85" s="1"/>
    </row>
    <row r="86" spans="1:7" ht="15">
      <c r="A86" s="5" t="s">
        <v>241</v>
      </c>
      <c r="B86" s="3"/>
      <c r="C86" s="3"/>
      <c r="D86" s="3"/>
      <c r="E86" s="3"/>
      <c r="F86" s="3"/>
    </row>
    <row r="87" spans="1:7" ht="15">
      <c r="A87" s="1" t="s">
        <v>241</v>
      </c>
      <c r="B87" s="1" t="s">
        <v>242</v>
      </c>
      <c r="C87" s="1" t="s">
        <v>349</v>
      </c>
      <c r="D87" s="1" t="s">
        <v>243</v>
      </c>
      <c r="E87" s="6" t="s">
        <v>128</v>
      </c>
      <c r="F87" s="1"/>
    </row>
    <row r="88" spans="1:7">
      <c r="A88" s="1" t="s">
        <v>241</v>
      </c>
      <c r="B88" s="1" t="s">
        <v>244</v>
      </c>
      <c r="C88" s="1"/>
      <c r="D88" s="1" t="s">
        <v>243</v>
      </c>
      <c r="E88" s="7" t="s">
        <v>131</v>
      </c>
      <c r="F88" s="1"/>
    </row>
    <row r="89" spans="1:7" ht="18.75">
      <c r="A89" s="1" t="s">
        <v>241</v>
      </c>
      <c r="B89" s="1" t="s">
        <v>245</v>
      </c>
      <c r="C89" s="1" t="s">
        <v>350</v>
      </c>
      <c r="D89" s="1" t="s">
        <v>243</v>
      </c>
      <c r="E89" s="7" t="s">
        <v>131</v>
      </c>
      <c r="F89" s="1"/>
      <c r="G89" s="20"/>
    </row>
    <row r="90" spans="1:7">
      <c r="A90" s="1" t="s">
        <v>241</v>
      </c>
      <c r="B90" s="1" t="s">
        <v>246</v>
      </c>
      <c r="C90" s="1"/>
      <c r="D90" s="1" t="s">
        <v>243</v>
      </c>
      <c r="E90" s="7" t="s">
        <v>131</v>
      </c>
      <c r="F90" s="1"/>
    </row>
    <row r="91" spans="1:7" ht="15">
      <c r="A91" s="1" t="s">
        <v>241</v>
      </c>
      <c r="B91" s="1" t="s">
        <v>247</v>
      </c>
      <c r="C91" s="1" t="s">
        <v>351</v>
      </c>
      <c r="D91" s="1" t="s">
        <v>243</v>
      </c>
      <c r="E91" s="6" t="s">
        <v>128</v>
      </c>
      <c r="F91" s="1"/>
    </row>
    <row r="92" spans="1:7">
      <c r="A92" s="1" t="s">
        <v>241</v>
      </c>
      <c r="B92" s="1" t="s">
        <v>248</v>
      </c>
      <c r="C92" s="1"/>
      <c r="D92" s="1" t="s">
        <v>243</v>
      </c>
      <c r="E92" s="7" t="s">
        <v>131</v>
      </c>
      <c r="F92" s="1"/>
    </row>
    <row r="93" spans="1:7">
      <c r="A93" s="11"/>
    </row>
    <row r="94" spans="1:7">
      <c r="A94" s="11"/>
    </row>
    <row r="95" spans="1:7">
      <c r="A95" s="11"/>
    </row>
    <row r="96" spans="1:7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</sheetData>
  <mergeCells count="1">
    <mergeCell ref="A1:F1"/>
  </mergeCells>
  <phoneticPr fontId="12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37180-298C-4663-8AE8-E112E9A59923}">
  <dimension ref="A1:G290"/>
  <sheetViews>
    <sheetView topLeftCell="A44" workbookViewId="0">
      <selection activeCell="C55" sqref="C55"/>
    </sheetView>
  </sheetViews>
  <sheetFormatPr defaultRowHeight="14.25"/>
  <cols>
    <col min="1" max="1" width="20" customWidth="1"/>
    <col min="2" max="2" width="34" customWidth="1"/>
    <col min="3" max="3" width="13.75" customWidth="1"/>
    <col min="4" max="4" width="20" customWidth="1"/>
    <col min="5" max="5" width="12" customWidth="1"/>
    <col min="6" max="6" width="29" customWidth="1"/>
    <col min="7" max="7" width="29.5" customWidth="1"/>
  </cols>
  <sheetData>
    <row r="1" spans="1:7" ht="20.25">
      <c r="A1" s="21" t="s">
        <v>121</v>
      </c>
      <c r="B1" s="22"/>
      <c r="C1" s="22"/>
      <c r="D1" s="22"/>
      <c r="E1" s="22"/>
      <c r="F1" s="22"/>
      <c r="G1" s="16"/>
    </row>
    <row r="2" spans="1:7">
      <c r="A2" s="11"/>
    </row>
    <row r="3" spans="1:7" ht="16.5">
      <c r="A3" s="13" t="s">
        <v>122</v>
      </c>
      <c r="B3" s="4" t="s">
        <v>31</v>
      </c>
      <c r="C3" s="4" t="s">
        <v>123</v>
      </c>
      <c r="D3" s="4" t="s">
        <v>124</v>
      </c>
      <c r="E3" s="4" t="s">
        <v>58</v>
      </c>
      <c r="F3" s="4" t="s">
        <v>68</v>
      </c>
      <c r="G3" s="4" t="s">
        <v>125</v>
      </c>
    </row>
    <row r="4" spans="1:7" ht="15">
      <c r="A4" s="5" t="s">
        <v>126</v>
      </c>
      <c r="B4" s="3"/>
      <c r="C4" s="3"/>
      <c r="D4" s="3"/>
      <c r="E4" s="3"/>
      <c r="F4" s="3"/>
      <c r="G4" s="3"/>
    </row>
    <row r="5" spans="1:7" ht="16.5">
      <c r="A5" s="1" t="s">
        <v>126</v>
      </c>
      <c r="B5" s="1" t="s">
        <v>13</v>
      </c>
      <c r="C5" s="1"/>
      <c r="D5" s="1" t="s">
        <v>127</v>
      </c>
      <c r="E5" s="6" t="s">
        <v>128</v>
      </c>
      <c r="F5" s="1"/>
      <c r="G5" s="1"/>
    </row>
    <row r="6" spans="1:7" ht="16.5">
      <c r="A6" s="1" t="s">
        <v>126</v>
      </c>
      <c r="B6" s="1" t="s">
        <v>130</v>
      </c>
      <c r="C6" s="1" t="s">
        <v>352</v>
      </c>
      <c r="D6" s="1"/>
      <c r="E6" s="7" t="s">
        <v>131</v>
      </c>
      <c r="F6" s="1"/>
      <c r="G6" s="1"/>
    </row>
    <row r="7" spans="1:7" ht="33.75">
      <c r="A7" s="1" t="s">
        <v>126</v>
      </c>
      <c r="B7" s="1" t="s">
        <v>54</v>
      </c>
      <c r="C7" s="1" t="s">
        <v>353</v>
      </c>
      <c r="D7" s="1"/>
      <c r="E7" s="7" t="s">
        <v>131</v>
      </c>
      <c r="F7" s="1"/>
      <c r="G7" s="1"/>
    </row>
    <row r="8" spans="1:7" ht="16.5">
      <c r="A8" s="1" t="s">
        <v>126</v>
      </c>
      <c r="B8" s="1" t="s">
        <v>133</v>
      </c>
      <c r="C8" s="1" t="s">
        <v>354</v>
      </c>
      <c r="D8" s="1" t="s">
        <v>127</v>
      </c>
      <c r="E8" s="7" t="s">
        <v>131</v>
      </c>
      <c r="F8" s="1"/>
      <c r="G8" s="1"/>
    </row>
    <row r="9" spans="1:7" ht="15">
      <c r="A9" s="1" t="s">
        <v>126</v>
      </c>
      <c r="B9" s="1" t="s">
        <v>135</v>
      </c>
      <c r="C9" s="1"/>
      <c r="D9" s="1" t="s">
        <v>127</v>
      </c>
      <c r="E9" s="6" t="s">
        <v>128</v>
      </c>
      <c r="F9" s="1"/>
      <c r="G9" s="1"/>
    </row>
    <row r="10" spans="1:7" ht="16.5">
      <c r="A10" s="1" t="s">
        <v>126</v>
      </c>
      <c r="B10" s="1" t="s">
        <v>137</v>
      </c>
      <c r="C10" s="1" t="s">
        <v>355</v>
      </c>
      <c r="D10" s="1" t="s">
        <v>127</v>
      </c>
      <c r="E10" s="6" t="s">
        <v>128</v>
      </c>
      <c r="F10" s="1"/>
      <c r="G10" s="1"/>
    </row>
    <row r="11" spans="1:7" ht="15">
      <c r="A11" s="5" t="s">
        <v>356</v>
      </c>
      <c r="B11" s="3"/>
      <c r="C11" s="3"/>
      <c r="D11" s="3"/>
      <c r="E11" s="3"/>
      <c r="F11" s="3"/>
      <c r="G11" s="3"/>
    </row>
    <row r="12" spans="1:7" ht="16.5">
      <c r="A12" s="1" t="s">
        <v>356</v>
      </c>
      <c r="B12" s="1" t="s">
        <v>15</v>
      </c>
      <c r="C12" s="1"/>
      <c r="D12" s="1" t="s">
        <v>141</v>
      </c>
      <c r="E12" s="6" t="s">
        <v>128</v>
      </c>
      <c r="F12" s="1"/>
      <c r="G12" s="1"/>
    </row>
    <row r="13" spans="1:7">
      <c r="A13" s="1" t="s">
        <v>356</v>
      </c>
      <c r="B13" s="1" t="s">
        <v>60</v>
      </c>
      <c r="C13" s="1"/>
      <c r="D13" s="1" t="s">
        <v>141</v>
      </c>
      <c r="E13" s="8" t="s">
        <v>142</v>
      </c>
      <c r="F13" s="1"/>
      <c r="G13" s="1"/>
    </row>
    <row r="14" spans="1:7" ht="15">
      <c r="A14" s="1" t="s">
        <v>356</v>
      </c>
      <c r="B14" s="1" t="s">
        <v>143</v>
      </c>
      <c r="C14" s="1"/>
      <c r="D14" s="1" t="s">
        <v>141</v>
      </c>
      <c r="E14" s="6" t="s">
        <v>128</v>
      </c>
      <c r="F14" s="1"/>
      <c r="G14" s="1"/>
    </row>
    <row r="15" spans="1:7" ht="15">
      <c r="A15" s="5" t="s">
        <v>144</v>
      </c>
      <c r="B15" s="3"/>
      <c r="C15" s="3"/>
      <c r="D15" s="3"/>
      <c r="E15" s="3"/>
      <c r="F15" s="3"/>
      <c r="G15" s="3"/>
    </row>
    <row r="16" spans="1:7" ht="15">
      <c r="A16" s="1" t="s">
        <v>144</v>
      </c>
      <c r="B16" s="1" t="s">
        <v>145</v>
      </c>
      <c r="C16" s="1"/>
      <c r="D16" s="1" t="s">
        <v>147</v>
      </c>
      <c r="E16" s="6" t="s">
        <v>128</v>
      </c>
      <c r="F16" s="1"/>
      <c r="G16" s="1"/>
    </row>
    <row r="17" spans="1:7">
      <c r="A17" s="1" t="s">
        <v>144</v>
      </c>
      <c r="B17" s="1" t="s">
        <v>148</v>
      </c>
      <c r="C17" s="1"/>
      <c r="D17" s="1" t="s">
        <v>147</v>
      </c>
      <c r="E17" s="8" t="s">
        <v>142</v>
      </c>
      <c r="F17" s="1"/>
      <c r="G17" s="1"/>
    </row>
    <row r="18" spans="1:7">
      <c r="A18" s="1" t="s">
        <v>144</v>
      </c>
      <c r="B18" s="1" t="s">
        <v>149</v>
      </c>
      <c r="C18" s="1"/>
      <c r="D18" s="1" t="s">
        <v>147</v>
      </c>
      <c r="E18" s="8" t="s">
        <v>142</v>
      </c>
      <c r="F18" s="1"/>
      <c r="G18" s="1"/>
    </row>
    <row r="19" spans="1:7">
      <c r="A19" s="1" t="s">
        <v>144</v>
      </c>
      <c r="B19" s="1" t="s">
        <v>151</v>
      </c>
      <c r="C19" s="1"/>
      <c r="D19" s="1" t="s">
        <v>147</v>
      </c>
      <c r="E19" s="8" t="s">
        <v>142</v>
      </c>
      <c r="F19" s="1"/>
      <c r="G19" s="1"/>
    </row>
    <row r="20" spans="1:7">
      <c r="A20" s="1" t="s">
        <v>144</v>
      </c>
      <c r="B20" s="1" t="s">
        <v>152</v>
      </c>
      <c r="C20" s="1"/>
      <c r="D20" s="1" t="s">
        <v>147</v>
      </c>
      <c r="E20" s="8" t="s">
        <v>142</v>
      </c>
      <c r="F20" s="1"/>
      <c r="G20" s="1"/>
    </row>
    <row r="21" spans="1:7">
      <c r="A21" s="1" t="s">
        <v>144</v>
      </c>
      <c r="B21" s="1" t="s">
        <v>154</v>
      </c>
      <c r="C21" s="1"/>
      <c r="D21" s="1" t="s">
        <v>147</v>
      </c>
      <c r="E21" s="8" t="s">
        <v>142</v>
      </c>
      <c r="F21" s="1"/>
      <c r="G21" s="1"/>
    </row>
    <row r="22" spans="1:7" ht="15">
      <c r="A22" s="1" t="s">
        <v>144</v>
      </c>
      <c r="B22" s="1" t="s">
        <v>156</v>
      </c>
      <c r="C22" s="1"/>
      <c r="D22" s="1" t="s">
        <v>147</v>
      </c>
      <c r="E22" s="6" t="s">
        <v>128</v>
      </c>
      <c r="F22" s="1"/>
      <c r="G22" s="1"/>
    </row>
    <row r="23" spans="1:7">
      <c r="A23" s="1" t="s">
        <v>144</v>
      </c>
      <c r="B23" s="1" t="s">
        <v>158</v>
      </c>
      <c r="C23" s="1"/>
      <c r="D23" s="1" t="s">
        <v>147</v>
      </c>
      <c r="E23" s="8" t="s">
        <v>142</v>
      </c>
      <c r="F23" s="1"/>
      <c r="G23" s="1"/>
    </row>
    <row r="24" spans="1:7">
      <c r="A24" s="1" t="s">
        <v>144</v>
      </c>
      <c r="B24" s="1" t="s">
        <v>160</v>
      </c>
      <c r="C24" s="1"/>
      <c r="D24" s="1" t="s">
        <v>147</v>
      </c>
      <c r="E24" s="8" t="s">
        <v>142</v>
      </c>
      <c r="F24" s="1"/>
      <c r="G24" s="1"/>
    </row>
    <row r="25" spans="1:7">
      <c r="A25" s="1" t="s">
        <v>144</v>
      </c>
      <c r="B25" s="1" t="s">
        <v>162</v>
      </c>
      <c r="C25" s="1"/>
      <c r="D25" s="1" t="s">
        <v>147</v>
      </c>
      <c r="E25" s="8" t="s">
        <v>142</v>
      </c>
      <c r="F25" s="1"/>
      <c r="G25" s="1"/>
    </row>
    <row r="26" spans="1:7">
      <c r="A26" s="1" t="s">
        <v>144</v>
      </c>
      <c r="B26" s="1" t="s">
        <v>164</v>
      </c>
      <c r="C26" s="1"/>
      <c r="D26" s="1" t="s">
        <v>147</v>
      </c>
      <c r="E26" s="8" t="s">
        <v>142</v>
      </c>
      <c r="F26" s="1"/>
      <c r="G26" s="1"/>
    </row>
    <row r="27" spans="1:7">
      <c r="A27" s="1" t="s">
        <v>144</v>
      </c>
      <c r="B27" s="1" t="s">
        <v>165</v>
      </c>
      <c r="C27" s="1"/>
      <c r="D27" s="1" t="s">
        <v>147</v>
      </c>
      <c r="E27" s="8" t="s">
        <v>142</v>
      </c>
      <c r="F27" s="1"/>
      <c r="G27" s="1"/>
    </row>
    <row r="28" spans="1:7">
      <c r="A28" s="1" t="s">
        <v>144</v>
      </c>
      <c r="B28" s="1" t="s">
        <v>166</v>
      </c>
      <c r="C28" s="1"/>
      <c r="D28" s="1" t="s">
        <v>147</v>
      </c>
      <c r="E28" s="8" t="s">
        <v>142</v>
      </c>
      <c r="F28" s="1"/>
      <c r="G28" s="1"/>
    </row>
    <row r="29" spans="1:7" ht="15">
      <c r="A29" s="1" t="s">
        <v>144</v>
      </c>
      <c r="B29" s="1" t="s">
        <v>167</v>
      </c>
      <c r="C29" s="1"/>
      <c r="D29" s="1" t="s">
        <v>147</v>
      </c>
      <c r="E29" s="6" t="s">
        <v>128</v>
      </c>
      <c r="F29" s="1"/>
      <c r="G29" s="1"/>
    </row>
    <row r="30" spans="1:7" ht="15">
      <c r="A30" s="5" t="s">
        <v>168</v>
      </c>
      <c r="B30" s="3"/>
      <c r="C30" s="3"/>
      <c r="D30" s="3"/>
      <c r="E30" s="3"/>
      <c r="F30" s="3"/>
      <c r="G30" s="3"/>
    </row>
    <row r="31" spans="1:7" ht="16.5">
      <c r="A31" s="1" t="s">
        <v>168</v>
      </c>
      <c r="B31" s="1" t="s">
        <v>169</v>
      </c>
      <c r="C31" s="1" t="s">
        <v>357</v>
      </c>
      <c r="D31" s="1" t="s">
        <v>171</v>
      </c>
      <c r="E31" s="6" t="s">
        <v>128</v>
      </c>
      <c r="F31" s="1"/>
      <c r="G31" s="1"/>
    </row>
    <row r="32" spans="1:7" ht="33.75">
      <c r="A32" s="1" t="s">
        <v>168</v>
      </c>
      <c r="B32" s="1" t="s">
        <v>172</v>
      </c>
      <c r="C32" s="1" t="s">
        <v>358</v>
      </c>
      <c r="D32" s="1" t="s">
        <v>171</v>
      </c>
      <c r="E32" s="6" t="s">
        <v>128</v>
      </c>
      <c r="F32" s="1"/>
      <c r="G32" s="1"/>
    </row>
    <row r="33" spans="1:7" ht="16.5">
      <c r="A33" s="1" t="s">
        <v>168</v>
      </c>
      <c r="B33" s="1" t="s">
        <v>174</v>
      </c>
      <c r="C33" s="1" t="s">
        <v>359</v>
      </c>
      <c r="D33" s="1" t="s">
        <v>171</v>
      </c>
      <c r="E33" s="8" t="s">
        <v>142</v>
      </c>
      <c r="F33" s="1"/>
      <c r="G33" s="1"/>
    </row>
    <row r="34" spans="1:7" ht="33.75">
      <c r="A34" s="1" t="s">
        <v>168</v>
      </c>
      <c r="B34" s="1" t="s">
        <v>176</v>
      </c>
      <c r="C34" s="1" t="s">
        <v>360</v>
      </c>
      <c r="D34" s="1" t="s">
        <v>171</v>
      </c>
      <c r="E34" s="8" t="s">
        <v>142</v>
      </c>
      <c r="F34" s="1"/>
      <c r="G34" s="1"/>
    </row>
    <row r="35" spans="1:7" ht="16.5">
      <c r="A35" s="1" t="s">
        <v>168</v>
      </c>
      <c r="B35" s="1" t="s">
        <v>179</v>
      </c>
      <c r="C35" s="1" t="s">
        <v>361</v>
      </c>
      <c r="D35" s="1" t="s">
        <v>171</v>
      </c>
      <c r="E35" s="8" t="s">
        <v>142</v>
      </c>
      <c r="F35" s="1"/>
      <c r="G35" s="1"/>
    </row>
    <row r="36" spans="1:7" ht="16.5">
      <c r="A36" s="1" t="s">
        <v>168</v>
      </c>
      <c r="B36" s="1" t="s">
        <v>180</v>
      </c>
      <c r="C36" s="1" t="s">
        <v>362</v>
      </c>
      <c r="D36" s="1" t="s">
        <v>171</v>
      </c>
      <c r="E36" s="8" t="s">
        <v>142</v>
      </c>
      <c r="F36" s="1"/>
      <c r="G36" s="1"/>
    </row>
    <row r="37" spans="1:7" ht="33.75">
      <c r="A37" s="1" t="s">
        <v>168</v>
      </c>
      <c r="B37" s="1" t="s">
        <v>182</v>
      </c>
      <c r="C37" s="1" t="s">
        <v>363</v>
      </c>
      <c r="D37" s="1" t="s">
        <v>171</v>
      </c>
      <c r="E37" s="8" t="s">
        <v>142</v>
      </c>
      <c r="F37" s="1" t="s">
        <v>364</v>
      </c>
      <c r="G37" s="1"/>
    </row>
    <row r="38" spans="1:7" ht="16.5">
      <c r="A38" s="1" t="s">
        <v>168</v>
      </c>
      <c r="B38" s="1" t="s">
        <v>184</v>
      </c>
      <c r="C38" s="1" t="s">
        <v>258</v>
      </c>
      <c r="D38" s="1" t="s">
        <v>171</v>
      </c>
      <c r="E38" s="8" t="s">
        <v>142</v>
      </c>
      <c r="F38" s="1"/>
      <c r="G38" s="1"/>
    </row>
    <row r="39" spans="1:7" ht="33.75">
      <c r="A39" s="1" t="s">
        <v>168</v>
      </c>
      <c r="B39" s="1" t="s">
        <v>186</v>
      </c>
      <c r="C39" s="1" t="s">
        <v>365</v>
      </c>
      <c r="D39" s="1" t="s">
        <v>171</v>
      </c>
      <c r="E39" s="8" t="s">
        <v>142</v>
      </c>
      <c r="F39" s="1"/>
      <c r="G39" s="1"/>
    </row>
    <row r="40" spans="1:7" ht="33.75">
      <c r="A40" s="1" t="s">
        <v>168</v>
      </c>
      <c r="B40" s="1" t="s">
        <v>188</v>
      </c>
      <c r="C40" s="1" t="s">
        <v>366</v>
      </c>
      <c r="D40" s="1" t="s">
        <v>171</v>
      </c>
      <c r="E40" s="8" t="s">
        <v>142</v>
      </c>
      <c r="F40" s="1"/>
      <c r="G40" s="1"/>
    </row>
    <row r="41" spans="1:7" ht="50.25">
      <c r="A41" s="1" t="s">
        <v>168</v>
      </c>
      <c r="B41" s="1" t="s">
        <v>190</v>
      </c>
      <c r="C41" s="1" t="s">
        <v>367</v>
      </c>
      <c r="D41" s="1" t="s">
        <v>171</v>
      </c>
      <c r="E41" s="8" t="s">
        <v>142</v>
      </c>
      <c r="F41" s="1"/>
      <c r="G41" s="1"/>
    </row>
    <row r="42" spans="1:7" ht="33.75">
      <c r="A42" s="1" t="s">
        <v>168</v>
      </c>
      <c r="B42" s="1" t="s">
        <v>368</v>
      </c>
      <c r="C42" s="1" t="s">
        <v>369</v>
      </c>
      <c r="D42" s="1" t="s">
        <v>171</v>
      </c>
      <c r="E42" s="8" t="s">
        <v>142</v>
      </c>
      <c r="F42" s="1" t="s">
        <v>370</v>
      </c>
      <c r="G42" s="1"/>
    </row>
    <row r="43" spans="1:7" ht="33.75">
      <c r="A43" s="1" t="s">
        <v>168</v>
      </c>
      <c r="B43" s="1" t="s">
        <v>192</v>
      </c>
      <c r="C43" s="1" t="s">
        <v>371</v>
      </c>
      <c r="D43" s="1" t="s">
        <v>171</v>
      </c>
      <c r="E43" s="6" t="s">
        <v>128</v>
      </c>
      <c r="F43" s="1" t="s">
        <v>372</v>
      </c>
      <c r="G43" s="1"/>
    </row>
    <row r="44" spans="1:7" ht="33.75">
      <c r="A44" s="1" t="s">
        <v>168</v>
      </c>
      <c r="B44" s="1" t="s">
        <v>193</v>
      </c>
      <c r="C44" s="1" t="s">
        <v>373</v>
      </c>
      <c r="D44" s="1" t="s">
        <v>171</v>
      </c>
      <c r="E44" s="8" t="s">
        <v>142</v>
      </c>
      <c r="F44" s="1" t="s">
        <v>374</v>
      </c>
      <c r="G44" s="36" t="s">
        <v>375</v>
      </c>
    </row>
    <row r="45" spans="1:7" ht="15">
      <c r="A45" s="5" t="s">
        <v>194</v>
      </c>
      <c r="B45" s="3"/>
      <c r="C45" s="3"/>
      <c r="D45" s="3"/>
      <c r="E45" s="3"/>
      <c r="F45" s="3"/>
      <c r="G45" s="3"/>
    </row>
    <row r="46" spans="1:7" ht="16.5">
      <c r="A46" s="1" t="s">
        <v>194</v>
      </c>
      <c r="B46" s="1" t="s">
        <v>195</v>
      </c>
      <c r="C46" s="1" t="s">
        <v>376</v>
      </c>
      <c r="D46" s="1" t="s">
        <v>197</v>
      </c>
      <c r="E46" s="6" t="s">
        <v>128</v>
      </c>
      <c r="F46" s="1"/>
      <c r="G46" s="1"/>
    </row>
    <row r="47" spans="1:7" ht="16.5">
      <c r="A47" s="1" t="s">
        <v>194</v>
      </c>
      <c r="B47" s="1" t="s">
        <v>198</v>
      </c>
      <c r="C47" s="1" t="s">
        <v>377</v>
      </c>
      <c r="D47" s="1" t="s">
        <v>197</v>
      </c>
      <c r="E47" s="8" t="s">
        <v>142</v>
      </c>
      <c r="F47" s="1"/>
      <c r="G47" s="1"/>
    </row>
    <row r="48" spans="1:7" ht="16.5">
      <c r="A48" s="1" t="s">
        <v>194</v>
      </c>
      <c r="B48" s="1" t="s">
        <v>305</v>
      </c>
      <c r="C48" s="1" t="s">
        <v>377</v>
      </c>
      <c r="D48" s="1" t="s">
        <v>197</v>
      </c>
      <c r="E48" s="6" t="s">
        <v>128</v>
      </c>
      <c r="F48" s="1" t="s">
        <v>378</v>
      </c>
      <c r="G48" s="1"/>
    </row>
    <row r="49" spans="1:7" ht="16.5">
      <c r="A49" s="1" t="s">
        <v>194</v>
      </c>
      <c r="B49" s="1" t="s">
        <v>200</v>
      </c>
      <c r="C49" s="1"/>
      <c r="D49" s="1" t="s">
        <v>197</v>
      </c>
      <c r="E49" s="6" t="s">
        <v>128</v>
      </c>
      <c r="F49" s="1"/>
      <c r="G49" s="1"/>
    </row>
    <row r="50" spans="1:7" ht="16.5">
      <c r="A50" s="1" t="s">
        <v>194</v>
      </c>
      <c r="B50" s="1" t="s">
        <v>201</v>
      </c>
      <c r="C50" s="1"/>
      <c r="D50" s="1" t="s">
        <v>197</v>
      </c>
      <c r="E50" s="8" t="s">
        <v>142</v>
      </c>
      <c r="F50" s="1" t="s">
        <v>379</v>
      </c>
      <c r="G50" s="1"/>
    </row>
    <row r="51" spans="1:7" ht="16.5">
      <c r="A51" s="1" t="s">
        <v>194</v>
      </c>
      <c r="B51" s="1" t="s">
        <v>202</v>
      </c>
      <c r="C51" s="1"/>
      <c r="D51" s="1" t="s">
        <v>197</v>
      </c>
      <c r="E51" s="8" t="s">
        <v>142</v>
      </c>
      <c r="F51" s="1"/>
      <c r="G51" s="1"/>
    </row>
    <row r="52" spans="1:7" ht="16.5">
      <c r="A52" s="1" t="s">
        <v>194</v>
      </c>
      <c r="B52" s="1" t="s">
        <v>203</v>
      </c>
      <c r="C52" s="1" t="s">
        <v>380</v>
      </c>
      <c r="D52" s="1" t="s">
        <v>197</v>
      </c>
      <c r="E52" s="8" t="s">
        <v>142</v>
      </c>
      <c r="F52" s="1"/>
      <c r="G52" s="1"/>
    </row>
    <row r="53" spans="1:7" ht="16.5">
      <c r="A53" s="1" t="s">
        <v>194</v>
      </c>
      <c r="B53" s="1" t="s">
        <v>204</v>
      </c>
      <c r="C53" s="1" t="s">
        <v>381</v>
      </c>
      <c r="D53" s="1" t="s">
        <v>197</v>
      </c>
      <c r="E53" s="8" t="s">
        <v>142</v>
      </c>
      <c r="F53" s="1"/>
      <c r="G53" s="1"/>
    </row>
    <row r="54" spans="1:7" ht="16.5">
      <c r="A54" s="1" t="s">
        <v>194</v>
      </c>
      <c r="B54" s="1" t="s">
        <v>205</v>
      </c>
      <c r="C54" s="1" t="s">
        <v>382</v>
      </c>
      <c r="D54" s="1" t="s">
        <v>197</v>
      </c>
      <c r="E54" s="8" t="s">
        <v>142</v>
      </c>
      <c r="F54" s="1" t="s">
        <v>383</v>
      </c>
      <c r="G54" s="1"/>
    </row>
    <row r="55" spans="1:7" ht="16.5">
      <c r="A55" s="1" t="s">
        <v>194</v>
      </c>
      <c r="B55" s="1" t="s">
        <v>206</v>
      </c>
      <c r="C55" s="1"/>
      <c r="D55" s="1" t="s">
        <v>197</v>
      </c>
      <c r="E55" s="8"/>
      <c r="F55" s="1"/>
      <c r="G55" s="1"/>
    </row>
    <row r="56" spans="1:7" ht="15">
      <c r="A56" s="5" t="s">
        <v>208</v>
      </c>
      <c r="B56" s="3"/>
      <c r="C56" s="3"/>
      <c r="D56" s="3"/>
      <c r="E56" s="3"/>
      <c r="F56" s="3"/>
      <c r="G56" s="3"/>
    </row>
    <row r="57" spans="1:7" ht="16.5">
      <c r="A57" s="1" t="s">
        <v>208</v>
      </c>
      <c r="B57" s="1" t="s">
        <v>209</v>
      </c>
      <c r="C57" s="1"/>
      <c r="D57" s="1" t="s">
        <v>210</v>
      </c>
      <c r="E57" s="6" t="s">
        <v>128</v>
      </c>
      <c r="F57" s="1" t="s">
        <v>384</v>
      </c>
      <c r="G57" s="1"/>
    </row>
    <row r="58" spans="1:7">
      <c r="A58" s="1" t="s">
        <v>208</v>
      </c>
      <c r="B58" s="1" t="s">
        <v>211</v>
      </c>
      <c r="C58" s="1"/>
      <c r="D58" s="1" t="s">
        <v>210</v>
      </c>
      <c r="E58" s="8" t="s">
        <v>142</v>
      </c>
      <c r="F58" s="1"/>
      <c r="G58" s="1"/>
    </row>
    <row r="59" spans="1:7">
      <c r="A59" s="1" t="s">
        <v>208</v>
      </c>
      <c r="B59" s="1" t="s">
        <v>212</v>
      </c>
      <c r="C59" s="1"/>
      <c r="D59" s="1" t="s">
        <v>210</v>
      </c>
      <c r="E59" s="8" t="s">
        <v>142</v>
      </c>
      <c r="F59" s="1"/>
      <c r="G59" s="1"/>
    </row>
    <row r="60" spans="1:7">
      <c r="A60" s="1" t="s">
        <v>208</v>
      </c>
      <c r="B60" s="1" t="s">
        <v>213</v>
      </c>
      <c r="C60" s="1"/>
      <c r="D60" s="1" t="s">
        <v>210</v>
      </c>
      <c r="E60" s="8" t="s">
        <v>142</v>
      </c>
      <c r="F60" s="1"/>
      <c r="G60" s="1"/>
    </row>
    <row r="61" spans="1:7" ht="15">
      <c r="A61" s="1" t="s">
        <v>208</v>
      </c>
      <c r="B61" s="1" t="s">
        <v>214</v>
      </c>
      <c r="C61" s="1"/>
      <c r="D61" s="1" t="s">
        <v>210</v>
      </c>
      <c r="E61" s="6" t="s">
        <v>128</v>
      </c>
      <c r="F61" s="1"/>
      <c r="G61" s="1"/>
    </row>
    <row r="62" spans="1:7" ht="15">
      <c r="A62" s="1" t="s">
        <v>208</v>
      </c>
      <c r="B62" s="1" t="s">
        <v>215</v>
      </c>
      <c r="C62" s="1"/>
      <c r="D62" s="1" t="s">
        <v>210</v>
      </c>
      <c r="E62" s="6" t="s">
        <v>128</v>
      </c>
      <c r="F62" s="1"/>
      <c r="G62" s="1"/>
    </row>
    <row r="63" spans="1:7">
      <c r="A63" s="1" t="s">
        <v>208</v>
      </c>
      <c r="B63" s="1" t="s">
        <v>216</v>
      </c>
      <c r="C63" s="1"/>
      <c r="D63" s="1" t="s">
        <v>210</v>
      </c>
      <c r="E63" s="8" t="s">
        <v>142</v>
      </c>
      <c r="F63" s="1"/>
      <c r="G63" s="1"/>
    </row>
    <row r="64" spans="1:7" ht="16.5">
      <c r="A64" s="1" t="s">
        <v>208</v>
      </c>
      <c r="B64" s="1" t="s">
        <v>217</v>
      </c>
      <c r="C64" s="1"/>
      <c r="D64" s="1" t="s">
        <v>210</v>
      </c>
      <c r="E64" s="8" t="s">
        <v>142</v>
      </c>
      <c r="F64" s="1"/>
      <c r="G64" s="1"/>
    </row>
    <row r="65" spans="1:7">
      <c r="A65" s="1" t="s">
        <v>208</v>
      </c>
      <c r="B65" s="1" t="s">
        <v>385</v>
      </c>
      <c r="C65" s="1"/>
      <c r="D65" s="1" t="s">
        <v>210</v>
      </c>
      <c r="E65" s="8" t="s">
        <v>142</v>
      </c>
      <c r="F65" s="1"/>
      <c r="G65" s="1"/>
    </row>
    <row r="66" spans="1:7" ht="15">
      <c r="A66" s="1" t="s">
        <v>208</v>
      </c>
      <c r="B66" s="1" t="s">
        <v>218</v>
      </c>
      <c r="C66" s="1"/>
      <c r="D66" s="1" t="s">
        <v>210</v>
      </c>
      <c r="E66" s="6" t="s">
        <v>128</v>
      </c>
      <c r="F66" s="1"/>
      <c r="G66" s="1"/>
    </row>
    <row r="67" spans="1:7">
      <c r="A67" s="1" t="s">
        <v>208</v>
      </c>
      <c r="B67" s="1" t="s">
        <v>219</v>
      </c>
      <c r="C67" s="1"/>
      <c r="D67" s="1" t="s">
        <v>210</v>
      </c>
      <c r="E67" s="8" t="s">
        <v>142</v>
      </c>
      <c r="F67" s="1"/>
      <c r="G67" s="1"/>
    </row>
    <row r="68" spans="1:7" ht="15">
      <c r="A68" s="5" t="s">
        <v>220</v>
      </c>
      <c r="B68" s="3"/>
      <c r="C68" s="3"/>
      <c r="D68" s="3"/>
      <c r="E68" s="3"/>
      <c r="F68" s="3"/>
      <c r="G68" s="3"/>
    </row>
    <row r="69" spans="1:7" ht="16.5">
      <c r="A69" s="1" t="s">
        <v>220</v>
      </c>
      <c r="B69" s="1" t="s">
        <v>221</v>
      </c>
      <c r="C69" s="1" t="s">
        <v>386</v>
      </c>
      <c r="D69" s="1" t="s">
        <v>222</v>
      </c>
      <c r="E69" s="7" t="s">
        <v>131</v>
      </c>
      <c r="F69" s="1"/>
      <c r="G69" s="1"/>
    </row>
    <row r="70" spans="1:7" ht="16.5">
      <c r="A70" s="1" t="s">
        <v>220</v>
      </c>
      <c r="B70" s="1" t="s">
        <v>223</v>
      </c>
      <c r="C70" s="1" t="s">
        <v>386</v>
      </c>
      <c r="D70" s="1" t="s">
        <v>222</v>
      </c>
      <c r="E70" s="7" t="s">
        <v>131</v>
      </c>
      <c r="F70" s="1"/>
      <c r="G70" s="1"/>
    </row>
    <row r="71" spans="1:7" ht="16.5">
      <c r="A71" s="1" t="s">
        <v>220</v>
      </c>
      <c r="B71" s="1" t="s">
        <v>224</v>
      </c>
      <c r="C71" s="1" t="s">
        <v>386</v>
      </c>
      <c r="D71" s="1" t="s">
        <v>222</v>
      </c>
      <c r="E71" s="7" t="s">
        <v>131</v>
      </c>
      <c r="F71" s="1"/>
      <c r="G71" s="1"/>
    </row>
    <row r="72" spans="1:7" ht="16.5">
      <c r="A72" s="1" t="s">
        <v>220</v>
      </c>
      <c r="B72" s="1" t="s">
        <v>225</v>
      </c>
      <c r="C72" s="1" t="s">
        <v>387</v>
      </c>
      <c r="D72" s="1" t="s">
        <v>222</v>
      </c>
      <c r="E72" s="7" t="s">
        <v>131</v>
      </c>
      <c r="F72" s="1"/>
      <c r="G72" s="1"/>
    </row>
    <row r="73" spans="1:7" ht="50.25">
      <c r="A73" s="1" t="s">
        <v>220</v>
      </c>
      <c r="B73" s="1" t="s">
        <v>226</v>
      </c>
      <c r="C73" s="1" t="s">
        <v>388</v>
      </c>
      <c r="D73" s="1" t="s">
        <v>222</v>
      </c>
      <c r="E73" s="8" t="s">
        <v>142</v>
      </c>
      <c r="F73" s="1"/>
      <c r="G73" s="1"/>
    </row>
    <row r="74" spans="1:7" ht="28.5">
      <c r="A74" s="1" t="s">
        <v>220</v>
      </c>
      <c r="B74" s="1" t="s">
        <v>227</v>
      </c>
      <c r="C74" s="1"/>
      <c r="D74" s="1" t="s">
        <v>222</v>
      </c>
      <c r="E74" s="7" t="s">
        <v>131</v>
      </c>
      <c r="F74" s="1"/>
      <c r="G74" s="1"/>
    </row>
    <row r="75" spans="1:7" ht="28.5">
      <c r="A75" s="1" t="s">
        <v>220</v>
      </c>
      <c r="B75" s="1" t="s">
        <v>228</v>
      </c>
      <c r="C75" s="1"/>
      <c r="D75" s="1" t="s">
        <v>222</v>
      </c>
      <c r="E75" s="8" t="s">
        <v>142</v>
      </c>
      <c r="F75" s="1"/>
      <c r="G75" s="1"/>
    </row>
    <row r="76" spans="1:7" ht="28.5">
      <c r="A76" s="1" t="s">
        <v>220</v>
      </c>
      <c r="B76" s="1" t="s">
        <v>229</v>
      </c>
      <c r="C76" s="1"/>
      <c r="D76" s="1" t="s">
        <v>222</v>
      </c>
      <c r="E76" s="7" t="s">
        <v>131</v>
      </c>
      <c r="F76" s="1"/>
      <c r="G76" s="1"/>
    </row>
    <row r="77" spans="1:7" ht="28.5">
      <c r="A77" s="1" t="s">
        <v>220</v>
      </c>
      <c r="B77" s="1" t="s">
        <v>230</v>
      </c>
      <c r="C77" s="1"/>
      <c r="D77" s="1" t="s">
        <v>222</v>
      </c>
      <c r="E77" s="7" t="s">
        <v>131</v>
      </c>
      <c r="F77" s="1"/>
      <c r="G77" s="1"/>
    </row>
    <row r="78" spans="1:7" ht="28.5">
      <c r="A78" s="1" t="s">
        <v>220</v>
      </c>
      <c r="B78" s="1" t="s">
        <v>231</v>
      </c>
      <c r="C78" s="1"/>
      <c r="D78" s="1" t="s">
        <v>222</v>
      </c>
      <c r="E78" s="7" t="s">
        <v>131</v>
      </c>
      <c r="F78" s="1"/>
      <c r="G78" s="1"/>
    </row>
    <row r="79" spans="1:7" ht="28.5">
      <c r="A79" s="1" t="s">
        <v>220</v>
      </c>
      <c r="B79" s="1" t="s">
        <v>232</v>
      </c>
      <c r="C79" s="1"/>
      <c r="D79" s="1" t="s">
        <v>222</v>
      </c>
      <c r="E79" s="7" t="s">
        <v>131</v>
      </c>
      <c r="F79" s="1"/>
      <c r="G79" s="1"/>
    </row>
    <row r="80" spans="1:7" ht="28.5">
      <c r="A80" s="1" t="s">
        <v>220</v>
      </c>
      <c r="B80" s="1" t="s">
        <v>233</v>
      </c>
      <c r="C80" s="1"/>
      <c r="D80" s="1" t="s">
        <v>222</v>
      </c>
      <c r="E80" s="7" t="s">
        <v>131</v>
      </c>
      <c r="F80" s="1"/>
      <c r="G80" s="1"/>
    </row>
    <row r="81" spans="1:7" ht="28.5">
      <c r="A81" s="1" t="s">
        <v>220</v>
      </c>
      <c r="B81" s="1" t="s">
        <v>234</v>
      </c>
      <c r="C81" s="1"/>
      <c r="D81" s="1" t="s">
        <v>222</v>
      </c>
      <c r="E81" s="7" t="s">
        <v>131</v>
      </c>
      <c r="F81" s="1"/>
      <c r="G81" s="1"/>
    </row>
    <row r="82" spans="1:7" ht="28.5">
      <c r="A82" s="1" t="s">
        <v>220</v>
      </c>
      <c r="B82" s="1" t="s">
        <v>235</v>
      </c>
      <c r="C82" s="1"/>
      <c r="D82" s="1" t="s">
        <v>222</v>
      </c>
      <c r="E82" s="7" t="s">
        <v>131</v>
      </c>
      <c r="F82" s="1"/>
      <c r="G82" s="1"/>
    </row>
    <row r="83" spans="1:7" ht="28.5">
      <c r="A83" s="1" t="s">
        <v>220</v>
      </c>
      <c r="B83" s="1" t="s">
        <v>236</v>
      </c>
      <c r="C83" s="1"/>
      <c r="D83" s="1" t="s">
        <v>222</v>
      </c>
      <c r="E83" s="8" t="s">
        <v>142</v>
      </c>
      <c r="F83" s="1"/>
      <c r="G83" s="1"/>
    </row>
    <row r="84" spans="1:7" ht="28.5">
      <c r="A84" s="1" t="s">
        <v>220</v>
      </c>
      <c r="B84" s="1" t="s">
        <v>237</v>
      </c>
      <c r="C84" s="1"/>
      <c r="D84" s="1" t="s">
        <v>222</v>
      </c>
      <c r="E84" s="8" t="s">
        <v>142</v>
      </c>
      <c r="F84" s="1"/>
      <c r="G84" s="1"/>
    </row>
    <row r="85" spans="1:7" ht="15">
      <c r="A85" s="5" t="s">
        <v>238</v>
      </c>
      <c r="B85" s="3"/>
      <c r="C85" s="3"/>
      <c r="D85" s="3"/>
      <c r="E85" s="3"/>
      <c r="F85" s="3"/>
      <c r="G85" s="3"/>
    </row>
    <row r="86" spans="1:7">
      <c r="A86" s="1" t="s">
        <v>238</v>
      </c>
      <c r="B86" s="1" t="s">
        <v>239</v>
      </c>
      <c r="C86" s="1"/>
      <c r="D86" s="1" t="s">
        <v>240</v>
      </c>
      <c r="E86" s="8" t="s">
        <v>142</v>
      </c>
      <c r="F86" s="1"/>
      <c r="G86" s="1"/>
    </row>
    <row r="87" spans="1:7" ht="15">
      <c r="A87" s="5" t="s">
        <v>241</v>
      </c>
      <c r="B87" s="3"/>
      <c r="C87" s="3"/>
      <c r="D87" s="3"/>
      <c r="E87" s="3"/>
      <c r="F87" s="3"/>
      <c r="G87" s="3"/>
    </row>
    <row r="88" spans="1:7" ht="16.5">
      <c r="A88" s="1" t="s">
        <v>241</v>
      </c>
      <c r="B88" s="1" t="s">
        <v>242</v>
      </c>
      <c r="C88" s="1"/>
      <c r="D88" s="1" t="s">
        <v>243</v>
      </c>
      <c r="E88" s="6" t="s">
        <v>128</v>
      </c>
      <c r="F88" s="1"/>
      <c r="G88" s="1"/>
    </row>
    <row r="89" spans="1:7">
      <c r="A89" s="1" t="s">
        <v>241</v>
      </c>
      <c r="B89" s="1" t="s">
        <v>244</v>
      </c>
      <c r="C89" s="1"/>
      <c r="D89" s="1" t="s">
        <v>243</v>
      </c>
      <c r="E89" s="7" t="s">
        <v>131</v>
      </c>
      <c r="F89" s="1"/>
      <c r="G89" s="1"/>
    </row>
    <row r="90" spans="1:7">
      <c r="A90" s="1" t="s">
        <v>241</v>
      </c>
      <c r="B90" s="1" t="s">
        <v>245</v>
      </c>
      <c r="C90" s="1"/>
      <c r="D90" s="1" t="s">
        <v>243</v>
      </c>
      <c r="E90" s="7" t="s">
        <v>131</v>
      </c>
      <c r="F90" s="1"/>
      <c r="G90" s="1"/>
    </row>
    <row r="91" spans="1:7">
      <c r="A91" s="1" t="s">
        <v>241</v>
      </c>
      <c r="B91" s="1" t="s">
        <v>246</v>
      </c>
      <c r="C91" s="1"/>
      <c r="D91" s="1" t="s">
        <v>243</v>
      </c>
      <c r="E91" s="7" t="s">
        <v>131</v>
      </c>
      <c r="F91" s="1"/>
      <c r="G91" s="1"/>
    </row>
    <row r="92" spans="1:7" ht="15">
      <c r="A92" s="1" t="s">
        <v>241</v>
      </c>
      <c r="B92" s="1" t="s">
        <v>247</v>
      </c>
      <c r="C92" s="1"/>
      <c r="D92" s="1" t="s">
        <v>243</v>
      </c>
      <c r="E92" s="6" t="s">
        <v>128</v>
      </c>
      <c r="F92" s="1"/>
      <c r="G92" s="1"/>
    </row>
    <row r="93" spans="1:7" ht="16.5">
      <c r="A93" s="1" t="s">
        <v>241</v>
      </c>
      <c r="B93" s="1" t="s">
        <v>248</v>
      </c>
      <c r="C93" s="1"/>
      <c r="D93" s="1" t="s">
        <v>243</v>
      </c>
      <c r="E93" s="7"/>
      <c r="F93" s="1"/>
      <c r="G93" s="1"/>
    </row>
    <row r="94" spans="1:7">
      <c r="A94" s="11"/>
    </row>
    <row r="95" spans="1:7">
      <c r="A95" s="11"/>
    </row>
    <row r="96" spans="1:7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</sheetData>
  <mergeCells count="1">
    <mergeCell ref="A1:F1"/>
  </mergeCells>
  <phoneticPr fontId="12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0"/>
  <sheetViews>
    <sheetView workbookViewId="0"/>
  </sheetViews>
  <sheetFormatPr defaultRowHeight="14.25"/>
  <cols>
    <col min="1" max="1" width="12" customWidth="1"/>
    <col min="2" max="2" width="10" customWidth="1"/>
    <col min="3" max="3" width="16" customWidth="1"/>
    <col min="4" max="4" width="14" customWidth="1"/>
    <col min="5" max="5" width="24" customWidth="1"/>
    <col min="6" max="6" width="34" customWidth="1"/>
    <col min="7" max="8" width="14" customWidth="1"/>
    <col min="9" max="9" width="28" customWidth="1"/>
    <col min="10" max="10" width="18" customWidth="1"/>
    <col min="11" max="11" width="20" customWidth="1"/>
    <col min="12" max="12" width="16" customWidth="1"/>
    <col min="13" max="13" width="36" customWidth="1"/>
  </cols>
  <sheetData>
    <row r="1" spans="1:13" ht="16.5">
      <c r="A1" t="s">
        <v>389</v>
      </c>
      <c r="B1" s="4" t="s">
        <v>52</v>
      </c>
      <c r="C1" s="4" t="s">
        <v>94</v>
      </c>
      <c r="D1" s="4" t="s">
        <v>390</v>
      </c>
      <c r="E1" s="4" t="s">
        <v>391</v>
      </c>
      <c r="F1" s="4" t="s">
        <v>392</v>
      </c>
      <c r="G1" s="4" t="s">
        <v>393</v>
      </c>
      <c r="H1" s="4" t="s">
        <v>394</v>
      </c>
      <c r="I1" s="4" t="s">
        <v>395</v>
      </c>
      <c r="J1" s="4" t="s">
        <v>396</v>
      </c>
      <c r="K1" s="4" t="s">
        <v>397</v>
      </c>
      <c r="L1" s="4" t="s">
        <v>398</v>
      </c>
      <c r="M1" s="4" t="s">
        <v>68</v>
      </c>
    </row>
    <row r="2" spans="1:13" ht="16.5">
      <c r="A2" s="1" t="s">
        <v>399</v>
      </c>
      <c r="B2" s="1" t="s">
        <v>103</v>
      </c>
      <c r="C2" s="1" t="s">
        <v>70</v>
      </c>
      <c r="D2" s="1" t="s">
        <v>400</v>
      </c>
      <c r="E2" s="1" t="s">
        <v>401</v>
      </c>
      <c r="F2" s="1" t="s">
        <v>402</v>
      </c>
      <c r="G2" s="1" t="s">
        <v>403</v>
      </c>
      <c r="H2" s="1" t="s">
        <v>404</v>
      </c>
      <c r="I2" s="1" t="s">
        <v>405</v>
      </c>
      <c r="J2" s="1" t="s">
        <v>406</v>
      </c>
      <c r="K2" s="1" t="s">
        <v>407</v>
      </c>
      <c r="L2" s="1" t="s">
        <v>47</v>
      </c>
      <c r="M2" s="1" t="s">
        <v>88</v>
      </c>
    </row>
    <row r="3" spans="1:13" ht="16.5">
      <c r="A3" s="1" t="s">
        <v>399</v>
      </c>
      <c r="B3" s="1" t="s">
        <v>103</v>
      </c>
      <c r="C3" s="1" t="s">
        <v>70</v>
      </c>
      <c r="D3" s="1" t="s">
        <v>408</v>
      </c>
      <c r="E3" s="1" t="s">
        <v>111</v>
      </c>
      <c r="F3" s="1" t="s">
        <v>409</v>
      </c>
      <c r="G3" s="1" t="s">
        <v>410</v>
      </c>
      <c r="H3" s="1" t="s">
        <v>411</v>
      </c>
      <c r="I3" s="1" t="s">
        <v>412</v>
      </c>
      <c r="J3" s="1" t="s">
        <v>413</v>
      </c>
      <c r="K3" s="1" t="s">
        <v>414</v>
      </c>
      <c r="L3" s="1" t="s">
        <v>46</v>
      </c>
      <c r="M3" s="1"/>
    </row>
    <row r="4" spans="1:13" ht="16.5">
      <c r="A4" s="1" t="s">
        <v>415</v>
      </c>
      <c r="B4" s="1" t="s">
        <v>416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6.5">
      <c r="A5" s="1" t="s">
        <v>417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</sheetData>
  <phoneticPr fontId="12"/>
  <conditionalFormatting sqref="L2:L300">
    <cfRule type="expression" dxfId="1" priority="1">
      <formula>L2="完成"</formula>
    </cfRule>
    <cfRule type="expression" dxfId="0" priority="2">
      <formula>L2="未着手"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リスト!$F$2:$F$10</xm:f>
          </x14:formula1>
          <xm:sqref>D2:D300</xm:sqref>
        </x14:dataValidation>
        <x14:dataValidation type="list" xr:uid="{00000000-0002-0000-0400-000001000000}">
          <x14:formula1>
            <xm:f>リスト!$H$2:$H$11</xm:f>
          </x14:formula1>
          <xm:sqref>G2:H300</xm:sqref>
        </x14:dataValidation>
        <x14:dataValidation type="list" xr:uid="{00000000-0002-0000-0400-000003000000}">
          <x14:formula1>
            <xm:f>リスト!$D$2:$D$7</xm:f>
          </x14:formula1>
          <xm:sqref>L2:L300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00"/>
  <sheetViews>
    <sheetView workbookViewId="0"/>
  </sheetViews>
  <sheetFormatPr defaultRowHeight="14.25"/>
  <cols>
    <col min="1" max="8" width="18" customWidth="1"/>
  </cols>
  <sheetData>
    <row r="1" spans="1:8">
      <c r="A1" s="28" t="s">
        <v>56</v>
      </c>
      <c r="B1" s="29" t="s">
        <v>57</v>
      </c>
      <c r="C1" s="29" t="s">
        <v>58</v>
      </c>
      <c r="D1" s="29" t="s">
        <v>45</v>
      </c>
      <c r="E1" s="29" t="s">
        <v>100</v>
      </c>
      <c r="F1" s="29" t="s">
        <v>390</v>
      </c>
      <c r="G1" s="29" t="s">
        <v>418</v>
      </c>
      <c r="H1" s="29" t="s">
        <v>419</v>
      </c>
    </row>
    <row r="2" spans="1:8">
      <c r="A2" s="1" t="s">
        <v>90</v>
      </c>
      <c r="B2" s="1" t="s">
        <v>74</v>
      </c>
      <c r="C2" s="1" t="s">
        <v>75</v>
      </c>
      <c r="D2" s="1" t="s">
        <v>46</v>
      </c>
      <c r="E2" s="1" t="s">
        <v>109</v>
      </c>
      <c r="F2" s="1" t="s">
        <v>400</v>
      </c>
      <c r="G2" s="1" t="s">
        <v>104</v>
      </c>
      <c r="H2" s="1" t="s">
        <v>403</v>
      </c>
    </row>
    <row r="3" spans="1:8">
      <c r="A3" s="1" t="s">
        <v>420</v>
      </c>
      <c r="B3" s="1" t="s">
        <v>406</v>
      </c>
      <c r="C3" s="1" t="s">
        <v>92</v>
      </c>
      <c r="D3" s="1" t="s">
        <v>47</v>
      </c>
      <c r="E3" s="1" t="s">
        <v>421</v>
      </c>
      <c r="F3" s="1" t="s">
        <v>422</v>
      </c>
      <c r="G3" s="1" t="s">
        <v>423</v>
      </c>
      <c r="H3" s="1" t="s">
        <v>404</v>
      </c>
    </row>
    <row r="4" spans="1:8">
      <c r="A4" s="1" t="s">
        <v>424</v>
      </c>
      <c r="B4" s="1" t="s">
        <v>425</v>
      </c>
      <c r="C4" s="1" t="s">
        <v>426</v>
      </c>
      <c r="D4" s="1" t="s">
        <v>48</v>
      </c>
      <c r="E4" s="1" t="s">
        <v>427</v>
      </c>
      <c r="F4" s="1" t="s">
        <v>428</v>
      </c>
      <c r="G4" s="1" t="s">
        <v>429</v>
      </c>
      <c r="H4" s="1" t="s">
        <v>410</v>
      </c>
    </row>
    <row r="5" spans="1:8">
      <c r="A5" s="1" t="s">
        <v>430</v>
      </c>
      <c r="B5" s="1" t="s">
        <v>91</v>
      </c>
      <c r="C5" s="1" t="s">
        <v>431</v>
      </c>
      <c r="D5" s="1" t="s">
        <v>49</v>
      </c>
      <c r="E5" s="1" t="s">
        <v>51</v>
      </c>
      <c r="F5" s="1" t="s">
        <v>432</v>
      </c>
      <c r="G5" s="1" t="s">
        <v>110</v>
      </c>
      <c r="H5" s="1" t="s">
        <v>411</v>
      </c>
    </row>
    <row r="6" spans="1:8">
      <c r="A6" s="1" t="s">
        <v>73</v>
      </c>
      <c r="C6" s="1" t="s">
        <v>91</v>
      </c>
      <c r="D6" s="1" t="s">
        <v>50</v>
      </c>
      <c r="F6" s="1" t="s">
        <v>408</v>
      </c>
      <c r="G6" s="1" t="s">
        <v>433</v>
      </c>
      <c r="H6" s="1" t="s">
        <v>434</v>
      </c>
    </row>
    <row r="7" spans="1:8">
      <c r="A7" s="1" t="s">
        <v>435</v>
      </c>
      <c r="D7" s="1" t="s">
        <v>51</v>
      </c>
      <c r="F7" s="1" t="s">
        <v>436</v>
      </c>
      <c r="G7" s="1" t="s">
        <v>437</v>
      </c>
      <c r="H7" s="1" t="s">
        <v>438</v>
      </c>
    </row>
    <row r="8" spans="1:8">
      <c r="A8" s="1" t="s">
        <v>439</v>
      </c>
      <c r="F8" s="1" t="s">
        <v>21</v>
      </c>
      <c r="G8" s="1" t="s">
        <v>440</v>
      </c>
      <c r="H8" s="1" t="s">
        <v>441</v>
      </c>
    </row>
    <row r="9" spans="1:8">
      <c r="A9" s="1" t="s">
        <v>442</v>
      </c>
      <c r="F9" s="1" t="s">
        <v>443</v>
      </c>
      <c r="G9" s="1" t="s">
        <v>444</v>
      </c>
      <c r="H9" s="1" t="s">
        <v>445</v>
      </c>
    </row>
    <row r="10" spans="1:8">
      <c r="A10" s="1" t="s">
        <v>446</v>
      </c>
      <c r="F10" s="1" t="s">
        <v>447</v>
      </c>
      <c r="H10" s="1" t="s">
        <v>448</v>
      </c>
    </row>
    <row r="11" spans="1:8">
      <c r="A11" s="1" t="s">
        <v>449</v>
      </c>
      <c r="H11" s="1" t="s">
        <v>450</v>
      </c>
    </row>
    <row r="12" spans="1:8">
      <c r="A12" s="1" t="s">
        <v>451</v>
      </c>
    </row>
    <row r="13" spans="1:8">
      <c r="A13" s="11"/>
    </row>
    <row r="14" spans="1:8">
      <c r="A14" s="11"/>
    </row>
    <row r="15" spans="1:8">
      <c r="A15" s="11"/>
    </row>
    <row r="16" spans="1:8">
      <c r="A16" s="11"/>
    </row>
    <row r="17" spans="1:1">
      <c r="A17" s="11"/>
    </row>
    <row r="18" spans="1:1">
      <c r="A18" s="11"/>
    </row>
    <row r="19" spans="1:1">
      <c r="A19" s="11"/>
    </row>
    <row r="20" spans="1:1">
      <c r="A20" s="11"/>
    </row>
    <row r="21" spans="1:1">
      <c r="A21" s="11"/>
    </row>
    <row r="22" spans="1:1">
      <c r="A22" s="11"/>
    </row>
    <row r="23" spans="1:1">
      <c r="A23" s="11"/>
    </row>
    <row r="24" spans="1:1">
      <c r="A24" s="11"/>
    </row>
    <row r="25" spans="1:1">
      <c r="A25" s="11"/>
    </row>
    <row r="26" spans="1:1">
      <c r="A26" s="11"/>
    </row>
    <row r="27" spans="1:1">
      <c r="A27" s="11"/>
    </row>
    <row r="28" spans="1:1">
      <c r="A28" s="11"/>
    </row>
    <row r="29" spans="1:1">
      <c r="A29" s="11"/>
    </row>
    <row r="30" spans="1:1">
      <c r="A30" s="11"/>
    </row>
    <row r="31" spans="1:1">
      <c r="A31" s="11"/>
    </row>
    <row r="32" spans="1:1">
      <c r="A32" s="11"/>
    </row>
    <row r="33" spans="1:1">
      <c r="A33" s="11"/>
    </row>
    <row r="34" spans="1:1">
      <c r="A34" s="11"/>
    </row>
    <row r="35" spans="1:1">
      <c r="A35" s="11"/>
    </row>
    <row r="36" spans="1:1">
      <c r="A36" s="11"/>
    </row>
    <row r="37" spans="1:1">
      <c r="A37" s="11"/>
    </row>
    <row r="38" spans="1:1">
      <c r="A38" s="11"/>
    </row>
    <row r="39" spans="1:1">
      <c r="A39" s="11"/>
    </row>
    <row r="40" spans="1:1">
      <c r="A40" s="11"/>
    </row>
    <row r="41" spans="1:1">
      <c r="A41" s="11"/>
    </row>
    <row r="42" spans="1:1">
      <c r="A42" s="11"/>
    </row>
    <row r="43" spans="1:1">
      <c r="A43" s="11"/>
    </row>
    <row r="44" spans="1:1">
      <c r="A44" s="11"/>
    </row>
    <row r="45" spans="1:1">
      <c r="A45" s="11"/>
    </row>
    <row r="46" spans="1:1">
      <c r="A46" s="11"/>
    </row>
    <row r="47" spans="1:1">
      <c r="A47" s="11"/>
    </row>
    <row r="48" spans="1:1">
      <c r="A48" s="11"/>
    </row>
    <row r="49" spans="1:1">
      <c r="A49" s="11"/>
    </row>
    <row r="50" spans="1:1">
      <c r="A50" s="11"/>
    </row>
    <row r="51" spans="1:1">
      <c r="A51" s="11"/>
    </row>
    <row r="52" spans="1:1">
      <c r="A52" s="11"/>
    </row>
    <row r="53" spans="1:1">
      <c r="A53" s="11"/>
    </row>
    <row r="54" spans="1:1">
      <c r="A54" s="11"/>
    </row>
    <row r="55" spans="1:1">
      <c r="A55" s="11"/>
    </row>
    <row r="56" spans="1:1">
      <c r="A56" s="11"/>
    </row>
    <row r="57" spans="1:1">
      <c r="A57" s="11"/>
    </row>
    <row r="58" spans="1:1">
      <c r="A58" s="11"/>
    </row>
    <row r="59" spans="1:1">
      <c r="A59" s="11"/>
    </row>
    <row r="60" spans="1:1">
      <c r="A60" s="11"/>
    </row>
    <row r="61" spans="1:1">
      <c r="A61" s="11"/>
    </row>
    <row r="62" spans="1:1">
      <c r="A62" s="11"/>
    </row>
    <row r="63" spans="1:1">
      <c r="A63" s="11"/>
    </row>
    <row r="64" spans="1:1">
      <c r="A64" s="11"/>
    </row>
    <row r="65" spans="1:1">
      <c r="A65" s="11"/>
    </row>
    <row r="66" spans="1:1">
      <c r="A66" s="11"/>
    </row>
    <row r="67" spans="1:1">
      <c r="A67" s="11"/>
    </row>
    <row r="68" spans="1:1">
      <c r="A68" s="11"/>
    </row>
    <row r="69" spans="1:1">
      <c r="A69" s="11"/>
    </row>
    <row r="70" spans="1:1">
      <c r="A70" s="11"/>
    </row>
    <row r="71" spans="1:1">
      <c r="A71" s="11"/>
    </row>
    <row r="72" spans="1:1">
      <c r="A72" s="11"/>
    </row>
    <row r="73" spans="1:1">
      <c r="A73" s="11"/>
    </row>
    <row r="74" spans="1:1">
      <c r="A74" s="11"/>
    </row>
    <row r="75" spans="1:1">
      <c r="A75" s="11"/>
    </row>
    <row r="76" spans="1:1">
      <c r="A76" s="11"/>
    </row>
    <row r="77" spans="1:1">
      <c r="A77" s="11"/>
    </row>
    <row r="78" spans="1:1">
      <c r="A78" s="11"/>
    </row>
    <row r="79" spans="1:1">
      <c r="A79" s="11"/>
    </row>
    <row r="80" spans="1:1">
      <c r="A80" s="11"/>
    </row>
    <row r="81" spans="1:1">
      <c r="A81" s="11"/>
    </row>
    <row r="82" spans="1:1">
      <c r="A82" s="11"/>
    </row>
    <row r="83" spans="1:1">
      <c r="A83" s="11"/>
    </row>
    <row r="84" spans="1:1">
      <c r="A84" s="11"/>
    </row>
    <row r="85" spans="1:1">
      <c r="A85" s="11"/>
    </row>
    <row r="86" spans="1:1">
      <c r="A86" s="11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11"/>
    </row>
    <row r="94" spans="1:1">
      <c r="A94" s="11"/>
    </row>
    <row r="95" spans="1:1">
      <c r="A95" s="11"/>
    </row>
    <row r="96" spans="1:1">
      <c r="A96" s="11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03" spans="1:1">
      <c r="A103" s="11"/>
    </row>
    <row r="104" spans="1:1">
      <c r="A104" s="11"/>
    </row>
    <row r="105" spans="1:1">
      <c r="A105" s="11"/>
    </row>
    <row r="106" spans="1:1">
      <c r="A106" s="11"/>
    </row>
    <row r="107" spans="1:1">
      <c r="A107" s="11"/>
    </row>
    <row r="108" spans="1:1">
      <c r="A108" s="11"/>
    </row>
    <row r="109" spans="1:1">
      <c r="A109" s="11"/>
    </row>
    <row r="110" spans="1:1">
      <c r="A110" s="11"/>
    </row>
    <row r="111" spans="1:1">
      <c r="A111" s="11"/>
    </row>
    <row r="112" spans="1:1">
      <c r="A112" s="11"/>
    </row>
    <row r="113" spans="1:1">
      <c r="A113" s="11"/>
    </row>
    <row r="114" spans="1:1">
      <c r="A114" s="11"/>
    </row>
    <row r="115" spans="1:1">
      <c r="A115" s="11"/>
    </row>
    <row r="116" spans="1:1">
      <c r="A116" s="11"/>
    </row>
    <row r="117" spans="1:1">
      <c r="A117" s="11"/>
    </row>
    <row r="118" spans="1:1">
      <c r="A118" s="11"/>
    </row>
    <row r="119" spans="1:1">
      <c r="A119" s="11"/>
    </row>
    <row r="120" spans="1:1">
      <c r="A120" s="11"/>
    </row>
    <row r="121" spans="1:1">
      <c r="A121" s="11"/>
    </row>
    <row r="122" spans="1:1">
      <c r="A122" s="11"/>
    </row>
    <row r="123" spans="1:1">
      <c r="A123" s="11"/>
    </row>
    <row r="124" spans="1:1">
      <c r="A124" s="11"/>
    </row>
    <row r="125" spans="1:1">
      <c r="A125" s="11"/>
    </row>
    <row r="126" spans="1:1">
      <c r="A126" s="11"/>
    </row>
    <row r="127" spans="1:1">
      <c r="A127" s="11"/>
    </row>
    <row r="128" spans="1:1">
      <c r="A128" s="11"/>
    </row>
    <row r="129" spans="1:1">
      <c r="A129" s="11"/>
    </row>
    <row r="130" spans="1:1">
      <c r="A130" s="11"/>
    </row>
    <row r="131" spans="1:1">
      <c r="A131" s="11"/>
    </row>
    <row r="132" spans="1:1">
      <c r="A132" s="11"/>
    </row>
    <row r="133" spans="1:1">
      <c r="A133" s="11"/>
    </row>
    <row r="134" spans="1:1">
      <c r="A134" s="11"/>
    </row>
    <row r="135" spans="1:1">
      <c r="A135" s="11"/>
    </row>
    <row r="136" spans="1:1">
      <c r="A136" s="11"/>
    </row>
    <row r="137" spans="1:1">
      <c r="A137" s="11"/>
    </row>
    <row r="138" spans="1:1">
      <c r="A138" s="11"/>
    </row>
    <row r="139" spans="1:1">
      <c r="A139" s="11"/>
    </row>
    <row r="140" spans="1:1">
      <c r="A140" s="11"/>
    </row>
    <row r="141" spans="1:1">
      <c r="A141" s="11"/>
    </row>
    <row r="142" spans="1:1">
      <c r="A142" s="11"/>
    </row>
    <row r="143" spans="1:1">
      <c r="A143" s="11"/>
    </row>
    <row r="144" spans="1:1">
      <c r="A144" s="11"/>
    </row>
    <row r="145" spans="1:1">
      <c r="A145" s="11"/>
    </row>
    <row r="146" spans="1:1">
      <c r="A146" s="11"/>
    </row>
    <row r="147" spans="1:1">
      <c r="A147" s="11"/>
    </row>
    <row r="148" spans="1:1">
      <c r="A148" s="11"/>
    </row>
    <row r="149" spans="1:1">
      <c r="A149" s="11"/>
    </row>
    <row r="150" spans="1:1">
      <c r="A150" s="11"/>
    </row>
    <row r="151" spans="1:1">
      <c r="A151" s="11"/>
    </row>
    <row r="152" spans="1:1">
      <c r="A152" s="11"/>
    </row>
    <row r="153" spans="1:1">
      <c r="A153" s="11"/>
    </row>
    <row r="154" spans="1:1">
      <c r="A154" s="11"/>
    </row>
    <row r="155" spans="1:1">
      <c r="A155" s="11"/>
    </row>
    <row r="156" spans="1:1">
      <c r="A156" s="11"/>
    </row>
    <row r="157" spans="1:1">
      <c r="A157" s="11"/>
    </row>
    <row r="158" spans="1:1">
      <c r="A158" s="11"/>
    </row>
    <row r="159" spans="1:1">
      <c r="A159" s="11"/>
    </row>
    <row r="160" spans="1: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6" spans="1:1">
      <c r="A176" s="11"/>
    </row>
    <row r="177" spans="1:1">
      <c r="A177" s="11"/>
    </row>
    <row r="178" spans="1:1">
      <c r="A178" s="11"/>
    </row>
    <row r="179" spans="1:1">
      <c r="A179" s="11"/>
    </row>
    <row r="180" spans="1:1">
      <c r="A180" s="11"/>
    </row>
    <row r="181" spans="1:1">
      <c r="A181" s="11"/>
    </row>
    <row r="182" spans="1:1">
      <c r="A182" s="11"/>
    </row>
    <row r="183" spans="1:1">
      <c r="A183" s="11"/>
    </row>
    <row r="184" spans="1:1">
      <c r="A184" s="11"/>
    </row>
    <row r="185" spans="1:1">
      <c r="A185" s="11"/>
    </row>
    <row r="186" spans="1:1">
      <c r="A186" s="11"/>
    </row>
    <row r="187" spans="1:1">
      <c r="A187" s="11"/>
    </row>
    <row r="188" spans="1:1">
      <c r="A188" s="11"/>
    </row>
    <row r="189" spans="1:1">
      <c r="A189" s="11"/>
    </row>
    <row r="190" spans="1:1">
      <c r="A190" s="11"/>
    </row>
    <row r="191" spans="1:1">
      <c r="A191" s="11"/>
    </row>
    <row r="192" spans="1:1">
      <c r="A192" s="11"/>
    </row>
    <row r="193" spans="1:1">
      <c r="A193" s="11"/>
    </row>
    <row r="194" spans="1:1">
      <c r="A194" s="11"/>
    </row>
    <row r="195" spans="1:1">
      <c r="A195" s="11"/>
    </row>
    <row r="196" spans="1:1">
      <c r="A196" s="11"/>
    </row>
    <row r="197" spans="1:1">
      <c r="A197" s="11"/>
    </row>
    <row r="198" spans="1:1">
      <c r="A198" s="11"/>
    </row>
    <row r="199" spans="1:1">
      <c r="A199" s="11"/>
    </row>
    <row r="200" spans="1:1">
      <c r="A200" s="11"/>
    </row>
    <row r="201" spans="1:1">
      <c r="A201" s="11"/>
    </row>
    <row r="202" spans="1:1">
      <c r="A202" s="11"/>
    </row>
    <row r="203" spans="1:1">
      <c r="A203" s="11"/>
    </row>
    <row r="204" spans="1:1">
      <c r="A204" s="11"/>
    </row>
    <row r="205" spans="1:1">
      <c r="A205" s="11"/>
    </row>
    <row r="206" spans="1:1">
      <c r="A206" s="11"/>
    </row>
    <row r="207" spans="1:1">
      <c r="A207" s="11"/>
    </row>
    <row r="208" spans="1:1">
      <c r="A208" s="11"/>
    </row>
    <row r="209" spans="1:1">
      <c r="A209" s="11"/>
    </row>
    <row r="210" spans="1:1">
      <c r="A210" s="11"/>
    </row>
    <row r="211" spans="1:1">
      <c r="A211" s="11"/>
    </row>
    <row r="212" spans="1:1">
      <c r="A212" s="11"/>
    </row>
    <row r="213" spans="1:1">
      <c r="A213" s="11"/>
    </row>
    <row r="214" spans="1:1">
      <c r="A214" s="11"/>
    </row>
    <row r="215" spans="1:1">
      <c r="A215" s="11"/>
    </row>
    <row r="216" spans="1:1">
      <c r="A216" s="11"/>
    </row>
    <row r="217" spans="1:1">
      <c r="A217" s="11"/>
    </row>
    <row r="218" spans="1:1">
      <c r="A218" s="11"/>
    </row>
    <row r="219" spans="1:1">
      <c r="A219" s="11"/>
    </row>
    <row r="220" spans="1:1">
      <c r="A220" s="11"/>
    </row>
    <row r="221" spans="1:1">
      <c r="A221" s="11"/>
    </row>
    <row r="222" spans="1:1">
      <c r="A222" s="11"/>
    </row>
    <row r="223" spans="1:1">
      <c r="A223" s="11"/>
    </row>
    <row r="224" spans="1:1">
      <c r="A224" s="11"/>
    </row>
    <row r="225" spans="1:1">
      <c r="A225" s="11"/>
    </row>
    <row r="226" spans="1:1">
      <c r="A226" s="11"/>
    </row>
    <row r="227" spans="1:1">
      <c r="A227" s="11"/>
    </row>
    <row r="228" spans="1:1">
      <c r="A228" s="11"/>
    </row>
    <row r="229" spans="1:1">
      <c r="A229" s="11"/>
    </row>
    <row r="230" spans="1:1">
      <c r="A230" s="11"/>
    </row>
    <row r="231" spans="1:1">
      <c r="A231" s="11"/>
    </row>
    <row r="232" spans="1:1">
      <c r="A232" s="11"/>
    </row>
    <row r="233" spans="1:1">
      <c r="A233" s="11"/>
    </row>
    <row r="234" spans="1:1">
      <c r="A234" s="11"/>
    </row>
    <row r="235" spans="1:1">
      <c r="A235" s="11"/>
    </row>
    <row r="236" spans="1:1">
      <c r="A236" s="11"/>
    </row>
    <row r="237" spans="1:1">
      <c r="A237" s="11"/>
    </row>
    <row r="238" spans="1:1">
      <c r="A238" s="11"/>
    </row>
    <row r="239" spans="1:1">
      <c r="A239" s="11"/>
    </row>
    <row r="240" spans="1: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0" spans="1:1">
      <c r="A250" s="11"/>
    </row>
    <row r="251" spans="1:1">
      <c r="A251" s="11"/>
    </row>
    <row r="252" spans="1:1">
      <c r="A252" s="11"/>
    </row>
    <row r="253" spans="1:1">
      <c r="A253" s="11"/>
    </row>
    <row r="254" spans="1:1">
      <c r="A254" s="11"/>
    </row>
    <row r="255" spans="1:1">
      <c r="A255" s="11"/>
    </row>
    <row r="256" spans="1:1">
      <c r="A256" s="11"/>
    </row>
    <row r="257" spans="1:1">
      <c r="A257" s="11"/>
    </row>
    <row r="258" spans="1:1">
      <c r="A258" s="11"/>
    </row>
    <row r="259" spans="1:1">
      <c r="A259" s="11"/>
    </row>
    <row r="260" spans="1:1">
      <c r="A260" s="11"/>
    </row>
    <row r="261" spans="1:1">
      <c r="A261" s="11"/>
    </row>
    <row r="262" spans="1:1">
      <c r="A262" s="11"/>
    </row>
    <row r="263" spans="1:1">
      <c r="A263" s="11"/>
    </row>
    <row r="264" spans="1:1">
      <c r="A264" s="11"/>
    </row>
    <row r="265" spans="1:1">
      <c r="A265" s="11"/>
    </row>
    <row r="266" spans="1:1">
      <c r="A266" s="11"/>
    </row>
    <row r="267" spans="1:1">
      <c r="A267" s="11"/>
    </row>
    <row r="268" spans="1:1">
      <c r="A268" s="11"/>
    </row>
    <row r="269" spans="1:1">
      <c r="A269" s="11"/>
    </row>
    <row r="270" spans="1:1">
      <c r="A270" s="11"/>
    </row>
    <row r="271" spans="1:1">
      <c r="A271" s="11"/>
    </row>
    <row r="272" spans="1:1">
      <c r="A272" s="11"/>
    </row>
    <row r="273" spans="1:1">
      <c r="A273" s="11"/>
    </row>
    <row r="274" spans="1:1">
      <c r="A274" s="11"/>
    </row>
    <row r="275" spans="1:1">
      <c r="A275" s="11"/>
    </row>
    <row r="276" spans="1:1">
      <c r="A276" s="11"/>
    </row>
    <row r="277" spans="1:1">
      <c r="A277" s="11"/>
    </row>
    <row r="278" spans="1:1">
      <c r="A278" s="11"/>
    </row>
    <row r="279" spans="1:1">
      <c r="A279" s="11"/>
    </row>
    <row r="280" spans="1:1">
      <c r="A280" s="11"/>
    </row>
    <row r="281" spans="1:1">
      <c r="A281" s="11"/>
    </row>
    <row r="282" spans="1:1">
      <c r="A282" s="11"/>
    </row>
    <row r="283" spans="1:1">
      <c r="A283" s="11"/>
    </row>
    <row r="284" spans="1:1">
      <c r="A284" s="11"/>
    </row>
    <row r="285" spans="1:1">
      <c r="A285" s="11"/>
    </row>
    <row r="286" spans="1:1">
      <c r="A286" s="11"/>
    </row>
    <row r="287" spans="1:1">
      <c r="A287" s="11"/>
    </row>
    <row r="288" spans="1:1">
      <c r="A288" s="11"/>
    </row>
    <row r="289" spans="1:1">
      <c r="A289" s="11"/>
    </row>
    <row r="290" spans="1:1">
      <c r="A290" s="11"/>
    </row>
    <row r="291" spans="1:1">
      <c r="A291" s="11"/>
    </row>
    <row r="292" spans="1:1">
      <c r="A292" s="11"/>
    </row>
    <row r="293" spans="1:1">
      <c r="A293" s="11"/>
    </row>
    <row r="294" spans="1:1">
      <c r="A294" s="11"/>
    </row>
    <row r="295" spans="1:1">
      <c r="A295" s="11"/>
    </row>
    <row r="296" spans="1:1">
      <c r="A296" s="11"/>
    </row>
    <row r="297" spans="1:1">
      <c r="A297" s="11"/>
    </row>
    <row r="298" spans="1:1">
      <c r="A298" s="11"/>
    </row>
    <row r="299" spans="1:1">
      <c r="A299" s="11"/>
    </row>
    <row r="300" spans="1:1">
      <c r="A300" s="11"/>
    </row>
  </sheetData>
  <mergeCells count="1">
    <mergeCell ref="A1:H1"/>
  </mergeCells>
  <phoneticPr fontId="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matsuba.s</cp:lastModifiedBy>
  <cp:revision/>
  <dcterms:created xsi:type="dcterms:W3CDTF">2026-06-26T12:25:56Z</dcterms:created>
  <dcterms:modified xsi:type="dcterms:W3CDTF">2026-07-10T13:08:32Z</dcterms:modified>
  <cp:category/>
  <cp:contentStatus/>
</cp:coreProperties>
</file>